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3d24a65ada4605" /></Relationships>
</file>

<file path=xl/workbook.xml><?xml version="1.0" encoding="utf-8"?>
<x:workbook xmlns:x="http://schemas.openxmlformats.org/spreadsheetml/2006/main">
  <x:sheets>
    <x:sheet xmlns:r="http://schemas.openxmlformats.org/officeDocument/2006/relationships" name="A0_Rekonsiliasi" sheetId="1" r:id="Rdf5fd89beff949e3"/>
    <x:sheet xmlns:r="http://schemas.openxmlformats.org/officeDocument/2006/relationships" name="Price" sheetId="2" r:id="R4ebce17f0f4049a8"/>
    <x:sheet xmlns:r="http://schemas.openxmlformats.org/officeDocument/2006/relationships" name="Raw Material" sheetId="3" r:id="Rc3f3e72070af4bcc"/>
    <x:sheet xmlns:r="http://schemas.openxmlformats.org/officeDocument/2006/relationships" name="Cost" sheetId="4" r:id="Rf2028a2d3fac478d"/>
    <x:sheet xmlns:r="http://schemas.openxmlformats.org/officeDocument/2006/relationships" name="Processing" sheetId="5" r:id="R213e7c522359420a"/>
    <x:sheet xmlns:r="http://schemas.openxmlformats.org/officeDocument/2006/relationships" name="Product" sheetId="6" r:id="Rfec70a1c52fb42bd"/>
    <x:sheet xmlns:r="http://schemas.openxmlformats.org/officeDocument/2006/relationships" name="A1_Kendali" sheetId="7" r:id="R9160be1add2547ce"/>
    <x:sheet xmlns:r="http://schemas.openxmlformats.org/officeDocument/2006/relationships" name="A2_Derivasi" sheetId="8" r:id="R4137ec8082c940da"/>
    <x:sheet xmlns:r="http://schemas.openxmlformats.org/officeDocument/2006/relationships" name="A3_Energi" sheetId="9" r:id="Rdf7c57cb494640db"/>
    <x:sheet xmlns:r="http://schemas.openxmlformats.org/officeDocument/2006/relationships" name="A4_LP_Model" sheetId="10" r:id="Rabac4b9da98e40eb"/>
    <x:sheet xmlns:r="http://schemas.openxmlformats.org/officeDocument/2006/relationships" name="A5_Frontier" sheetId="11" r:id="R3af847fb41a6464c"/>
    <x:sheet xmlns:r="http://schemas.openxmlformats.org/officeDocument/2006/relationships" name="A6_Sensitivitas" sheetId="12" r:id="Rccb0400a19254dc0"/>
    <x:sheet xmlns:r="http://schemas.openxmlformats.org/officeDocument/2006/relationships" name="A7_Panduan" sheetId="13" r:id="R9bb453c979d54f53"/>
    <x:sheet xmlns:r="http://schemas.openxmlformats.org/officeDocument/2006/relationships" name="FINAL_00_Tujuan" sheetId="14" r:id="Rc0f8974628e646a0"/>
    <x:sheet xmlns:r="http://schemas.openxmlformats.org/officeDocument/2006/relationships" name="FINAL_01_Kendali" sheetId="15" r:id="R99053ce0c45e4ce1"/>
    <x:sheet xmlns:r="http://schemas.openxmlformats.org/officeDocument/2006/relationships" name="FINAL_02_Ekonomi" sheetId="16" r:id="R51b148d546c040f2"/>
    <x:sheet xmlns:r="http://schemas.openxmlformats.org/officeDocument/2006/relationships" name="FINAL_03_Resource" sheetId="17" r:id="R919951eedb964871"/>
    <x:sheet xmlns:r="http://schemas.openxmlformats.org/officeDocument/2006/relationships" name="FINAL_04_Optimizer" sheetId="18" r:id="Rabbca57895114dd0"/>
    <x:sheet xmlns:r="http://schemas.openxmlformats.org/officeDocument/2006/relationships" name="FINAL_05_Tradeoff" sheetId="19" r:id="Rf4e549da3c064ec7"/>
    <x:sheet xmlns:r="http://schemas.openxmlformats.org/officeDocument/2006/relationships" name="FINAL_06_Panduan" sheetId="20" r:id="Rb7f3468a648843da"/>
  </x:sheets>
</x:workbook>
</file>

<file path=xl/sharedStrings.xml><?xml version="1.0" encoding="utf-8"?>
<x:sst xmlns:x="http://schemas.openxmlformats.org/spreadsheetml/2006/main">
  <x:si>
    <x:t xml:space="preserve">A0 — AUDIT REKONSILIASI TERHADAP CASEBOOK, TECHNICAL MEETING DAN DATA ARUNA</x:t>
  </x:si>
  <x:si>
    <x:t xml:space="preserve">Butir</x:t>
  </x:si>
  <x:si>
    <x:t xml:space="preserve">Yang dinyatakan sumber</x:t>
  </x:si>
  <x:si>
    <x:t xml:space="preserve">Kondisi sebelum</x:t>
  </x:si>
  <x:si>
    <x:t xml:space="preserve">Tindakan pada workbook ini</x:t>
  </x:si>
  <x:si>
    <x:t xml:space="preserve">1. Basis optimasi</x:t>
  </x:si>
  <x:si>
    <x:t xml:space="preserve">QnA Aris: untuk suggest solution pakai periode shipment dengan batasan satu kontainer 19 ton</x:t>
  </x:si>
  <x:si>
    <x:t xml:space="preserve">Basis 1 hari; kendala kontainer tidak ada</x:t>
  </x:si>
  <x:si>
    <x:t xml:space="preserve">Kendala kontainer 19.000 kg FG masuk ke A4. Horizon jadi input.</x:t>
  </x:si>
  <x:si>
    <x:t xml:space="preserve">2. Kapasitas dan shipment</x:t>
  </x:si>
  <x:si>
    <x:t xml:space="preserve">Notulensi: 4,5 ton per hari (whole); shipment maksimum 60 ton per bulan</x:t>
  </x:si>
  <x:si>
    <x:t xml:space="preserve">Hanya 4.500 kg/hari; 60 ton tidak dimodelkan</x:t>
  </x:si>
  <x:si>
    <x:t xml:space="preserve">Keduanya jadi kendala terpisah di A4.</x:t>
  </x:si>
  <x:si>
    <x:t xml:space="preserve">3. Kurs</x:t>
  </x:si>
  <x:si>
    <x:t xml:space="preserve">QnA: kurs tengah 16.481 dikunci</x:t>
  </x:si>
  <x:si>
    <x:t xml:space="preserve">Sebagian model memakai 17.887</x:t>
  </x:si>
  <x:si>
    <x:t xml:space="preserve">Ditarik dari Cost!H2. Tidak ada angka kurs yang diketik.</x:t>
  </x:si>
  <x:si>
    <x:t xml:space="preserve">4. Marketing fee</x:t>
  </x:si>
  <x:si>
    <x:t xml:space="preserve">QnA Aris: marketing fee diabaikan</x:t>
  </x:si>
  <x:si>
    <x:t xml:space="preserve">Diabaikan</x:t>
  </x:si>
  <x:si>
    <x:t xml:space="preserve">Dipertahankan.</x:t>
  </x:si>
  <x:si>
    <x:t xml:space="preserve">5. Ground Meat</x:t>
  </x:si>
  <x:si>
    <x:t xml:space="preserve">Notulensi: SKU akhir termasuk Ground Meat, harga di bawah Medallion</x:t>
  </x:si>
  <x:si>
    <x:t xml:space="preserve">Tidak ada di model</x:t>
  </x:si>
  <x:si>
    <x:t xml:space="preserve">Masuk sebagai SKU ke-8, harga input default USD 2,00/lbs.</x:t>
  </x:si>
  <x:si>
    <x:t xml:space="preserve">6. Rute WIP</x:t>
  </x:si>
  <x:si>
    <x:t xml:space="preserve">QnA Aris: WIP ST/SK bisa jadi Steak atau Saku; WIP GM/PK bisa jadi Ground Meat atau Poke</x:t>
  </x:si>
  <x:si>
    <x:t xml:space="preserve">Tidak dimodelkan</x:t>
  </x:si>
  <x:si>
    <x:t xml:space="preserve">Dipakai untuk menyusun matriks kelayakan dan uji silang yield Poke di A2 langkah 2.</x:t>
  </x:si>
  <x:si>
    <x:t xml:space="preserve">7. Yield loin ke SKU</x:t>
  </x:si>
  <x:si>
    <x:t xml:space="preserve">Casebook: masuk kategori data berstatus estimasi; boleh asumsi ilustratif asal dinyatakan</x:t>
  </x:si>
  <x:si>
    <x:t xml:space="preserve">Benchmark KKP dipakai mentah</x:t>
  </x:si>
  <x:si>
    <x:t xml:space="preserve">Benchmark dipertahankan sebagai pola relatif lalu dikalibrasi ke Cost!D27. Jejak penuh di A2 langkah 1 sampai 7.</x:t>
  </x:si>
  <x:si>
    <x:t xml:space="preserve">8. Yield Poke</x:t>
  </x:si>
  <x:si>
    <x:t xml:space="preserve">Sumber benchmark menyatakan cube from residual/tetelan</x:t>
  </x:si>
  <x:si>
    <x:t xml:space="preserve">Dipakai sebagai konversi jalur khusus (0,0941)</x:t>
  </x:si>
  <x:si>
    <x:t xml:space="preserve">Dikoreksi ke kelas potongan porsi. Uji silang data Aruna di A2 baris 21 sampai 23 memberi 46,6 persen.</x:t>
  </x:si>
  <x:si>
    <x:t xml:space="preserve">9. Nilai by-product</x:t>
  </x:si>
  <x:si>
    <x:t xml:space="preserve">Casebook: Excess Product nilai jual lebih rendah, bukan nol</x:t>
  </x:si>
  <x:si>
    <x:t xml:space="preserve">Masuk fungsi tujuan, ditarik dari Cost!O64 dibagi Cost!M64.</x:t>
  </x:si>
  <x:si>
    <x:t xml:space="preserve">10. Ekonomi per SKU</x:t>
  </x:si>
  <x:si>
    <x:t xml:space="preserve">Sheet Cost memakai standard cost berbeda per jenis bahan</x:t>
  </x:si>
  <x:si>
    <x:t xml:space="preserve">GP per kg FG diambil mentah dari sheet Cost</x:t>
  </x:si>
  <x:si>
    <x:t xml:space="preserve">Dibangun ulang dari prinsip pertama di A2 langkah 10, direkonsiliasi ke Cost!G119.</x:t>
  </x:si>
  <x:si>
    <x:t xml:space="preserve">11. Masalah inti</x:t>
  </x:si>
  <x:si>
    <x:t xml:space="preserve">QnA Aris: masih banyak excess product, menjadi kapital yang mandek</x:t>
  </x:si>
  <x:si>
    <x:t xml:space="preserve">Tidak ada variabel excess</x:t>
  </x:si>
  <x:si>
    <x:t xml:space="preserve">Kredit by-product membuat trade-off-nya terlihat; A5 mengukur harga menahan portofolio.</x:t>
  </x:si>
  <x:si>
    <x:t xml:space="preserve">12. Arah PO vs resource</x:t>
  </x:si>
  <x:si>
    <x:t xml:space="preserve">QnA Aris: berdasarkan resource yang tersedia optimalnya di angka berapa</x:t>
  </x:si>
  <x:si>
    <x:t xml:space="preserve">PO dipakai sebagai plafon</x:t>
  </x:si>
  <x:si>
    <x:t xml:space="preserve">Frontier alfa 0 sampai 85 persen di A5 menjawab dua arah sekaligus.</x:t>
  </x:si>
  <x:si>
    <x:t xml:space="preserve">13. Satuan energi</x:t>
  </x:si>
  <x:si>
    <x:t xml:space="preserve">Casebook: intensitas energi per SKU adalah data sekunder</x:t>
  </x:si>
  <x:si>
    <x:t xml:space="preserve">Indeks tak berdimensi dipakai sebagai kWh/kg</x:t>
  </x:si>
  <x:si>
    <x:t xml:space="preserve">Satu tabel energi bottom-up di A3, satuan kWh per kg FG, seluruhnya berformula.</x:t>
  </x:si>
  <x:si>
    <x:t xml:space="preserve">PETA SHEET</x:t>
  </x:si>
  <x:si>
    <x:t xml:space="preserve">A1_Kendali</x:t>
  </x:si>
  <x:si>
    <x:t xml:space="preserve">Semua input kebijakan. Sel kuning boleh diubah.</x:t>
  </x:si>
  <x:si>
    <x:t xml:space="preserve">A2_Derivasi</x:t>
  </x:si>
  <x:si>
    <x:t xml:space="preserve">Jejak 12 langkah: yield, kalibrasi rho, kebutuhan bahan, alfa, dan ekonomi per SKU.</x:t>
  </x:si>
  <x:si>
    <x:t xml:space="preserve">A3_Energi</x:t>
  </x:si>
  <x:si>
    <x:t xml:space="preserve">Parameter mesin, peta 11 tahap proses, energi per tahap, before vs after.</x:t>
  </x:si>
  <x:si>
    <x:t xml:space="preserve">A4_LP_Model</x:t>
  </x:si>
  <x:si>
    <x:t xml:space="preserve">Model optimasi. Sel kuning = variabel keputusan Solver.</x:t>
  </x:si>
  <x:si>
    <x:t xml:space="preserve">A5_Frontier</x:t>
  </x:si>
  <x:si>
    <x:t xml:space="preserve">Kurva alfa terhadap margin. Menjawab kenapa 70 persen dan bukan 85 persen.</x:t>
  </x:si>
  <x:si>
    <x:t xml:space="preserve">A6_Sensitivitas</x:t>
  </x:si>
  <x:si>
    <x:t xml:space="preserve">Titik impas per SKU dan uji parameter.</x:t>
  </x:si>
  <x:si>
    <x:t xml:space="preserve">A7_Panduan</x:t>
  </x:si>
  <x:si>
    <x:t xml:space="preserve">Pengaturan Solver dan model matematis lengkap.</x:t>
  </x:si>
  <x:si>
    <x:t xml:space="preserve">Price, Raw Material, Cost, Processing, Product</x:t>
  </x:si>
  <x:si>
    <x:t xml:space="preserve">Salinan utuh data Aruna. Seluruh formula menarik dari sini.</x:t>
  </x:si>
  <x:si>
    <x:t xml:space="preserve">Data Support Case Collaboration</x:t>
  </x:si>
  <x:si>
    <x:t xml:space="preserve">Date</x:t>
  </x:si>
  <x:si>
    <x:t xml:space="preserve">SKU</x:t>
  </x:si>
  <x:si>
    <x:t xml:space="preserve">USD/Lbs</x:t>
  </x:si>
  <x:si>
    <x:t xml:space="preserve">USD/Kg</x:t>
  </x:si>
  <x:si>
    <x:t xml:space="preserve">21-Mar-2025</x:t>
  </x:si>
  <x:si>
    <x:t xml:space="preserve">SAKU 16 OZ</x:t>
  </x:si>
  <x:si>
    <x:t xml:space="preserve">STEAK 4 OZ</x:t>
  </x:si>
  <x:si>
    <x:t xml:space="preserve">STEAK 6 OZ</x:t>
  </x:si>
  <x:si>
    <x:t xml:space="preserve">STEAK 8 OZ</x:t>
  </x:si>
  <x:si>
    <x:t xml:space="preserve">STEAK 10 OZ</x:t>
  </x:si>
  <x:si>
    <x:t xml:space="preserve">POKE 1.5 CM</x:t>
  </x:si>
  <x:si>
    <x:t xml:space="preserve">MENDALLION 2-3 OZ</x:t>
  </x:si>
  <x:si>
    <x:t xml:space="preserve">TANGGAL</x:t>
  </x:si>
  <x:si>
    <x:t xml:space="preserve">NAMA KAPAL</x:t>
  </x:si>
  <x:si>
    <x:t xml:space="preserve">CODE</x:t>
  </x:si>
  <x:si>
    <x:t xml:space="preserve">BARCODE</x:t>
  </x:si>
  <x:si>
    <x:t xml:space="preserve">PO</x:t>
  </x:si>
  <x:si>
    <x:t xml:space="preserve">RM YFT</x:t>
  </x:si>
  <x:si>
    <x:t xml:space="preserve">RM BIG EYE</x:t>
  </x:si>
  <x:si>
    <x:t xml:space="preserve">EKOR</x:t>
  </x:si>
  <x:si>
    <x:t xml:space="preserve">SIZE</x:t>
  </x:si>
  <x:si>
    <x:t xml:space="preserve">GRADE</x:t>
  </x:si>
  <x:si>
    <x:t xml:space="preserve">KM. KEVIN JAYA 02</x:t>
  </x:si>
  <x:si>
    <x:t xml:space="preserve">L65</x:t>
  </x:si>
  <x:si>
    <x:t xml:space="preserve">L65 281124</x:t>
  </x:si>
  <x:si>
    <x:t xml:space="preserve">MIDA DSS2</x:t>
  </x:si>
  <x:si>
    <x:t xml:space="preserve">30 UP</x:t>
  </x:si>
  <x:si>
    <x:t xml:space="preserve">GRADE B</x:t>
  </x:si>
  <x:si>
    <x:t xml:space="preserve">GRADE C</x:t>
  </x:si>
  <x:si>
    <x:t xml:space="preserve">20 UP</x:t>
  </x:si>
  <x:si>
    <x:t xml:space="preserve">14 UP</x:t>
  </x:si>
  <x:si>
    <x:t xml:space="preserve">YFT (Kg)</x:t>
  </x:si>
  <x:si>
    <x:t xml:space="preserve">Total</x:t>
  </x:si>
  <x:si>
    <x:t xml:space="preserve">KM. JIHANA</x:t>
  </x:si>
  <x:si>
    <x:t xml:space="preserve">L25</x:t>
  </x:si>
  <x:si>
    <x:t xml:space="preserve">L25 301124</x:t>
  </x:si>
  <x:si>
    <x:t xml:space="preserve">KM. MNK GROUP 02</x:t>
  </x:si>
  <x:si>
    <x:t xml:space="preserve">L62</x:t>
  </x:si>
  <x:si>
    <x:t xml:space="preserve">L62 301124</x:t>
  </x:si>
  <x:si>
    <x:t xml:space="preserve">KM. HARAPAN BAROE</x:t>
  </x:si>
  <x:si>
    <x:t xml:space="preserve">L19</x:t>
  </x:si>
  <x:si>
    <x:t xml:space="preserve">L19 301124</x:t>
  </x:si>
  <x:si>
    <x:t xml:space="preserve">KM. HIBO 04</x:t>
  </x:si>
  <x:si>
    <x:t xml:space="preserve">L7</x:t>
  </x:si>
  <x:si>
    <x:t xml:space="preserve">L7 301124</x:t>
  </x:si>
  <x:si>
    <x:t xml:space="preserve">Ekor</x:t>
  </x:si>
  <x:si>
    <x:t xml:space="preserve">KM. DILLA DE FICKY 05</x:t>
  </x:si>
  <x:si>
    <x:t xml:space="preserve">L18</x:t>
  </x:si>
  <x:si>
    <x:t xml:space="preserve">L18 011224</x:t>
  </x:si>
  <x:si>
    <x:t xml:space="preserve">KM. KEVIN JAYA 01</x:t>
  </x:si>
  <x:si>
    <x:t xml:space="preserve">L17</x:t>
  </x:si>
  <x:si>
    <x:t xml:space="preserve">L17 021224</x:t>
  </x:si>
  <x:si>
    <x:t xml:space="preserve">KM. MNK GROUP 01</x:t>
  </x:si>
  <x:si>
    <x:t xml:space="preserve">L12</x:t>
  </x:si>
  <x:si>
    <x:t xml:space="preserve">L12 021224</x:t>
  </x:si>
  <x:si>
    <x:t xml:space="preserve">KM. MNK GROUP 04</x:t>
  </x:si>
  <x:si>
    <x:t xml:space="preserve">L78</x:t>
  </x:si>
  <x:si>
    <x:t xml:space="preserve">L78 021224</x:t>
  </x:si>
  <x:si>
    <x:t xml:space="preserve">KM. MNK GROUP 03</x:t>
  </x:si>
  <x:si>
    <x:t xml:space="preserve">L63</x:t>
  </x:si>
  <x:si>
    <x:t xml:space="preserve">L63 021224</x:t>
  </x:si>
  <x:si>
    <x:t xml:space="preserve">KM. FARID 05</x:t>
  </x:si>
  <x:si>
    <x:t xml:space="preserve">L76</x:t>
  </x:si>
  <x:si>
    <x:t xml:space="preserve">L76 021224</x:t>
  </x:si>
  <x:si>
    <x:t xml:space="preserve">KM. PUTRI KENCANA</x:t>
  </x:si>
  <x:si>
    <x:t xml:space="preserve">L54</x:t>
  </x:si>
  <x:si>
    <x:t xml:space="preserve">L54 031224</x:t>
  </x:si>
  <x:si>
    <x:t xml:space="preserve">KM. RAJO 4</x:t>
  </x:si>
  <x:si>
    <x:t xml:space="preserve">L51</x:t>
  </x:si>
  <x:si>
    <x:t xml:space="preserve">L51 041224</x:t>
  </x:si>
  <x:si>
    <x:t xml:space="preserve">KM. HIBO 05</x:t>
  </x:si>
  <x:si>
    <x:t xml:space="preserve">L39</x:t>
  </x:si>
  <x:si>
    <x:t xml:space="preserve">L39 051224</x:t>
  </x:si>
  <x:si>
    <x:t xml:space="preserve">KM. FATHINA</x:t>
  </x:si>
  <x:si>
    <x:t xml:space="preserve">L72</x:t>
  </x:si>
  <x:si>
    <x:t xml:space="preserve">L72 051224</x:t>
  </x:si>
  <x:si>
    <x:t xml:space="preserve">KM. AFFAN BUDIMAN</x:t>
  </x:si>
  <x:si>
    <x:t xml:space="preserve">L24</x:t>
  </x:si>
  <x:si>
    <x:t xml:space="preserve">L24 051224</x:t>
  </x:si>
  <x:si>
    <x:t xml:space="preserve">KM. CUMI-CUMI 05</x:t>
  </x:si>
  <x:si>
    <x:t xml:space="preserve">L43</x:t>
  </x:si>
  <x:si>
    <x:t xml:space="preserve">L43 051224</x:t>
  </x:si>
  <x:si>
    <x:t xml:space="preserve">L65 061224</x:t>
  </x:si>
  <x:si>
    <x:t xml:space="preserve">KM. HIBO 03</x:t>
  </x:si>
  <x:si>
    <x:t xml:space="preserve">L38</x:t>
  </x:si>
  <x:si>
    <x:t xml:space="preserve">L38 071224</x:t>
  </x:si>
  <x:si>
    <x:t xml:space="preserve">KM. AZZIRA</x:t>
  </x:si>
  <x:si>
    <x:t xml:space="preserve">L61</x:t>
  </x:si>
  <x:si>
    <x:t xml:space="preserve">L61 071224</x:t>
  </x:si>
  <x:si>
    <x:t xml:space="preserve">KM. ANNIESHA 02</x:t>
  </x:si>
  <x:si>
    <x:t xml:space="preserve">L50</x:t>
  </x:si>
  <x:si>
    <x:t xml:space="preserve">L50 071224</x:t>
  </x:si>
  <x:si>
    <x:t xml:space="preserve">L52</x:t>
  </x:si>
  <x:si>
    <x:t xml:space="preserve">L52 071224</x:t>
  </x:si>
  <x:si>
    <x:t xml:space="preserve">KM. TIGA JAGOAN</x:t>
  </x:si>
  <x:si>
    <x:t xml:space="preserve">L64</x:t>
  </x:si>
  <x:si>
    <x:t xml:space="preserve">L64 071224</x:t>
  </x:si>
  <x:si>
    <x:t xml:space="preserve">KM. GHIBRAN 01</x:t>
  </x:si>
  <x:si>
    <x:t xml:space="preserve">L56</x:t>
  </x:si>
  <x:si>
    <x:t xml:space="preserve">L56 121224</x:t>
  </x:si>
  <x:si>
    <x:t xml:space="preserve">KM. MONAJAYA</x:t>
  </x:si>
  <x:si>
    <x:t xml:space="preserve">L49</x:t>
  </x:si>
  <x:si>
    <x:t xml:space="preserve">L49 121224</x:t>
  </x:si>
  <x:si>
    <x:t xml:space="preserve">L25 131224</x:t>
  </x:si>
  <x:si>
    <x:t xml:space="preserve">KM. PURSE SEINE 01</x:t>
  </x:si>
  <x:si>
    <x:t xml:space="preserve">L6</x:t>
  </x:si>
  <x:si>
    <x:t xml:space="preserve">L6 131224</x:t>
  </x:si>
  <x:si>
    <x:t xml:space="preserve">L50 131224</x:t>
  </x:si>
  <x:si>
    <x:t xml:space="preserve">KM. TIAR JAYA 02</x:t>
  </x:si>
  <x:si>
    <x:t xml:space="preserve">Z3</x:t>
  </x:si>
  <x:si>
    <x:t xml:space="preserve">Z3 141224</x:t>
  </x:si>
  <x:si>
    <x:t xml:space="preserve">KM. ANUGERAH PASIFIK</x:t>
  </x:si>
  <x:si>
    <x:t xml:space="preserve">L82</x:t>
  </x:si>
  <x:si>
    <x:t xml:space="preserve">L82 141224</x:t>
  </x:si>
  <x:si>
    <x:t xml:space="preserve">KM. BERKAH ILLAHI</x:t>
  </x:si>
  <x:si>
    <x:t xml:space="preserve">L53</x:t>
  </x:si>
  <x:si>
    <x:t xml:space="preserve">L53 161224</x:t>
  </x:si>
  <x:si>
    <x:t xml:space="preserve">KM. SINAR MORO</x:t>
  </x:si>
  <x:si>
    <x:t xml:space="preserve">L22</x:t>
  </x:si>
  <x:si>
    <x:t xml:space="preserve">L22 161224</x:t>
  </x:si>
  <x:si>
    <x:t xml:space="preserve">KM. GHIBRAN 02</x:t>
  </x:si>
  <x:si>
    <x:t xml:space="preserve">L57</x:t>
  </x:si>
  <x:si>
    <x:t xml:space="preserve">L57 161224</x:t>
  </x:si>
  <x:si>
    <x:t xml:space="preserve">KM. GARUDO</x:t>
  </x:si>
  <x:si>
    <x:t xml:space="preserve">L77</x:t>
  </x:si>
  <x:si>
    <x:t xml:space="preserve">L77 171224</x:t>
  </x:si>
  <x:si>
    <x:t xml:space="preserve">KM. RAJO 08</x:t>
  </x:si>
  <x:si>
    <x:t xml:space="preserve">L70</x:t>
  </x:si>
  <x:si>
    <x:t xml:space="preserve">L70 171224</x:t>
  </x:si>
  <x:si>
    <x:t xml:space="preserve">KM. RAJO 1</x:t>
  </x:si>
  <x:si>
    <x:t xml:space="preserve">L33</x:t>
  </x:si>
  <x:si>
    <x:t xml:space="preserve">L33 171224</x:t>
  </x:si>
  <x:si>
    <x:t xml:space="preserve">KM. ANUGRAH DUO PUTRA</x:t>
  </x:si>
  <x:si>
    <x:t xml:space="preserve">L35</x:t>
  </x:si>
  <x:si>
    <x:t xml:space="preserve">L35 171224</x:t>
  </x:si>
  <x:si>
    <x:t xml:space="preserve">KM. SAMUDERA ATLANTIK</x:t>
  </x:si>
  <x:si>
    <x:t xml:space="preserve">L84</x:t>
  </x:si>
  <x:si>
    <x:t xml:space="preserve">L84 171224</x:t>
  </x:si>
  <x:si>
    <x:t xml:space="preserve">KM. SAMUDERA JAYA 04</x:t>
  </x:si>
  <x:si>
    <x:t xml:space="preserve">L83</x:t>
  </x:si>
  <x:si>
    <x:t xml:space="preserve">L83 201224</x:t>
  </x:si>
  <x:si>
    <x:t xml:space="preserve">KM. RAJO 01</x:t>
  </x:si>
  <x:si>
    <x:t xml:space="preserve">L33 201224</x:t>
  </x:si>
  <x:si>
    <x:t xml:space="preserve">KM. MUHIBAH</x:t>
  </x:si>
  <x:si>
    <x:t xml:space="preserve">L47</x:t>
  </x:si>
  <x:si>
    <x:t xml:space="preserve">L47 201224</x:t>
  </x:si>
  <x:si>
    <x:t xml:space="preserve">L39 231224</x:t>
  </x:si>
  <x:si>
    <x:t xml:space="preserve">KM. BINA SUMBER JAYA</x:t>
  </x:si>
  <x:si>
    <x:t xml:space="preserve">Z8</x:t>
  </x:si>
  <x:si>
    <x:t xml:space="preserve">Z8 241224</x:t>
  </x:si>
  <x:si>
    <x:t xml:space="preserve">L61 261224</x:t>
  </x:si>
  <x:si>
    <x:t xml:space="preserve">KM. LLB 080</x:t>
  </x:si>
  <x:si>
    <x:t xml:space="preserve">L14</x:t>
  </x:si>
  <x:si>
    <x:t xml:space="preserve">L14 261224</x:t>
  </x:si>
  <x:si>
    <x:t xml:space="preserve">KM. KHAHAR</x:t>
  </x:si>
  <x:si>
    <x:t xml:space="preserve">L79</x:t>
  </x:si>
  <x:si>
    <x:t xml:space="preserve">L79 271224</x:t>
  </x:si>
  <x:si>
    <x:t xml:space="preserve">L56 271224</x:t>
  </x:si>
  <x:si>
    <x:t xml:space="preserve">L17 281224</x:t>
  </x:si>
  <x:si>
    <x:t xml:space="preserve">KM. GHANI ARYAGUNA</x:t>
  </x:si>
  <x:si>
    <x:t xml:space="preserve">L36</x:t>
  </x:si>
  <x:si>
    <x:t xml:space="preserve">L36 281224</x:t>
  </x:si>
  <x:si>
    <x:t xml:space="preserve">L72 281224</x:t>
  </x:si>
  <x:si>
    <x:t xml:space="preserve">KM. FAHRA 04</x:t>
  </x:si>
  <x:si>
    <x:t xml:space="preserve">L73</x:t>
  </x:si>
  <x:si>
    <x:t xml:space="preserve">L73 281224</x:t>
  </x:si>
  <x:si>
    <x:t xml:space="preserve">KM. RAJO 3</x:t>
  </x:si>
  <x:si>
    <x:t xml:space="preserve">L60</x:t>
  </x:si>
  <x:si>
    <x:t xml:space="preserve">L60 281224</x:t>
  </x:si>
  <x:si>
    <x:t xml:space="preserve">L51 291224</x:t>
  </x:si>
  <x:si>
    <x:t xml:space="preserve">L54 291224</x:t>
  </x:si>
  <x:si>
    <x:t xml:space="preserve">KM. REJEKI MULYA</x:t>
  </x:si>
  <x:si>
    <x:t xml:space="preserve">Z2</x:t>
  </x:si>
  <x:si>
    <x:t xml:space="preserve">Z2 291224</x:t>
  </x:si>
  <x:si>
    <x:t xml:space="preserve">KM. SIMAMPALU</x:t>
  </x:si>
  <x:si>
    <x:t xml:space="preserve">Z5</x:t>
  </x:si>
  <x:si>
    <x:t xml:space="preserve">Z5 291224</x:t>
  </x:si>
  <x:si>
    <x:t xml:space="preserve">KM. ANUGRAH ATLANTIK</x:t>
  </x:si>
  <x:si>
    <x:t xml:space="preserve">L81</x:t>
  </x:si>
  <x:si>
    <x:t xml:space="preserve">L81 301224</x:t>
  </x:si>
  <x:si>
    <x:t xml:space="preserve">L82 301224</x:t>
  </x:si>
  <x:si>
    <x:t xml:space="preserve">L12 301224</x:t>
  </x:si>
  <x:si>
    <x:t xml:space="preserve">L62 301224</x:t>
  </x:si>
  <x:si>
    <x:t xml:space="preserve">L50 301224</x:t>
  </x:si>
  <x:si>
    <x:t xml:space="preserve">L25 301224</x:t>
  </x:si>
  <x:si>
    <x:t xml:space="preserve">1L57 020125</x:t>
  </x:si>
  <x:si>
    <x:t xml:space="preserve">1L38 020125</x:t>
  </x:si>
  <x:si>
    <x:t xml:space="preserve">4L77 020125</x:t>
  </x:si>
  <x:si>
    <x:t xml:space="preserve">KM. LANGKAH SATRIA</x:t>
  </x:si>
  <x:si>
    <x:t xml:space="preserve">L10</x:t>
  </x:si>
  <x:si>
    <x:t xml:space="preserve">2L10 030125</x:t>
  </x:si>
  <x:si>
    <x:t xml:space="preserve">6L47 070125</x:t>
  </x:si>
  <x:si>
    <x:t xml:space="preserve">KM. ADZAR</x:t>
  </x:si>
  <x:si>
    <x:t xml:space="preserve">L74</x:t>
  </x:si>
  <x:si>
    <x:t xml:space="preserve">4L74 090125</x:t>
  </x:si>
  <x:si>
    <x:t xml:space="preserve">KM. HARAPAN BERSAMA</x:t>
  </x:si>
  <x:si>
    <x:t xml:space="preserve">L28</x:t>
  </x:si>
  <x:si>
    <x:t xml:space="preserve">2L28 090125</x:t>
  </x:si>
  <x:si>
    <x:t xml:space="preserve">1L61 090125</x:t>
  </x:si>
  <x:si>
    <x:t xml:space="preserve">5Z5 090125</x:t>
  </x:si>
  <x:si>
    <x:t xml:space="preserve">KM. TIAR JAYA 01</x:t>
  </x:si>
  <x:si>
    <x:t xml:space="preserve">5Z3 090125</x:t>
  </x:si>
  <x:si>
    <x:t xml:space="preserve">5Z8 090125</x:t>
  </x:si>
  <x:si>
    <x:t xml:space="preserve">3L35 100125</x:t>
  </x:si>
  <x:si>
    <x:t xml:space="preserve">4L76 100125</x:t>
  </x:si>
  <x:si>
    <x:t xml:space="preserve">3L70 100125</x:t>
  </x:si>
  <x:si>
    <x:t xml:space="preserve">1L39 100125</x:t>
  </x:si>
  <x:si>
    <x:t xml:space="preserve">1L33 100125</x:t>
  </x:si>
  <x:si>
    <x:t xml:space="preserve">2L62 110125</x:t>
  </x:si>
  <x:si>
    <x:t xml:space="preserve">2L12 110125</x:t>
  </x:si>
  <x:si>
    <x:t xml:space="preserve">1L72 110125</x:t>
  </x:si>
  <x:si>
    <x:t xml:space="preserve">2L22 120125</x:t>
  </x:si>
  <x:si>
    <x:t xml:space="preserve">1L56 120125</x:t>
  </x:si>
  <x:si>
    <x:t xml:space="preserve">4L82 130125</x:t>
  </x:si>
  <x:si>
    <x:t xml:space="preserve">4L54 150125</x:t>
  </x:si>
  <x:si>
    <x:t xml:space="preserve">5Z2 150125</x:t>
  </x:si>
  <x:si>
    <x:t xml:space="preserve">5Z8 150125</x:t>
  </x:si>
  <x:si>
    <x:t xml:space="preserve">4L73 160125</x:t>
  </x:si>
  <x:si>
    <x:t xml:space="preserve">4L77 160125</x:t>
  </x:si>
  <x:si>
    <x:t xml:space="preserve">KM. PURSE SEINE 02</x:t>
  </x:si>
  <x:si>
    <x:t xml:space="preserve">6L6 160125</x:t>
  </x:si>
  <x:si>
    <x:t xml:space="preserve">3L35 170125</x:t>
  </x:si>
  <x:si>
    <x:t xml:space="preserve">1L38 170125</x:t>
  </x:si>
  <x:si>
    <x:t xml:space="preserve">1L57 190125</x:t>
  </x:si>
  <x:si>
    <x:t xml:space="preserve">5Z5 200125</x:t>
  </x:si>
  <x:si>
    <x:t xml:space="preserve">1L50 220125</x:t>
  </x:si>
  <x:si>
    <x:t xml:space="preserve">4L25 220125</x:t>
  </x:si>
  <x:si>
    <x:t xml:space="preserve">4L81 220125</x:t>
  </x:si>
  <x:si>
    <x:t xml:space="preserve">KM. ARRIJAL</x:t>
  </x:si>
  <x:si>
    <x:t xml:space="preserve">L67</x:t>
  </x:si>
  <x:si>
    <x:t xml:space="preserve">6L67 230125</x:t>
  </x:si>
  <x:si>
    <x:t xml:space="preserve">6L47 290125</x:t>
  </x:si>
  <x:si>
    <x:t xml:space="preserve">2L12 310125</x:t>
  </x:si>
  <x:si>
    <x:t xml:space="preserve">2L62 310125</x:t>
  </x:si>
  <x:si>
    <x:t xml:space="preserve">2L78 310125</x:t>
  </x:si>
  <x:si>
    <x:t xml:space="preserve">3L24 310125</x:t>
  </x:si>
  <x:si>
    <x:t xml:space="preserve">1L56 310125</x:t>
  </x:si>
  <x:si>
    <x:t xml:space="preserve">1L19 250225</x:t>
  </x:si>
  <x:si>
    <x:t xml:space="preserve">MIDA DSS2/SM</x:t>
  </x:si>
  <x:si>
    <x:t xml:space="preserve">3L51 260225</x:t>
  </x:si>
  <x:si>
    <x:t xml:space="preserve">2L12 280225</x:t>
  </x:si>
  <x:si>
    <x:t xml:space="preserve">1L38 280225</x:t>
  </x:si>
  <x:si>
    <x:t xml:space="preserve">4L74 010325</x:t>
  </x:si>
  <x:si>
    <x:t xml:space="preserve">3L60 020325</x:t>
  </x:si>
  <x:si>
    <x:t xml:space="preserve">5Z2 020325</x:t>
  </x:si>
  <x:si>
    <x:t xml:space="preserve">5Z3 020325</x:t>
  </x:si>
  <x:si>
    <x:t xml:space="preserve">4L79 020325</x:t>
  </x:si>
  <x:si>
    <x:t xml:space="preserve">CUSTOMER CODE</x:t>
  </x:si>
  <x:si>
    <x:t xml:space="preserve">MIDA 2</x:t>
  </x:si>
  <x:si>
    <x:t xml:space="preserve">KURS</x:t>
  </x:si>
  <x:si>
    <x:t xml:space="preserve">DEST</x:t>
  </x:si>
  <x:si>
    <x:t xml:space="preserve">PO NUMBER</x:t>
  </x:si>
  <x:si>
    <x:t xml:space="preserve">EST. SHIPMENT</x:t>
  </x:si>
  <x:si>
    <x:t xml:space="preserve">MC</x:t>
  </x:si>
  <x:si>
    <x:t xml:space="preserve">QTY (LBS)</x:t>
  </x:si>
  <x:si>
    <x:t xml:space="preserve">QTY(KG)</x:t>
  </x:si>
  <x:si>
    <x:t xml:space="preserve">PRICE (USD/KG)</x:t>
  </x:si>
  <x:si>
    <x:t xml:space="preserve">REVENUE</x:t>
  </x:si>
  <x:si>
    <x:t xml:space="preserve">RM</x:t>
  </x:si>
  <x:si>
    <x:t xml:space="preserve">PROCESSING</x:t>
  </x:si>
  <x:si>
    <x:t xml:space="preserve">HANDLING</x:t>
  </x:si>
  <x:si>
    <x:t xml:space="preserve">LOGISTIC</x:t>
  </x:si>
  <x:si>
    <x:t xml:space="preserve">MARKETING</x:t>
  </x:si>
  <x:si>
    <x:t xml:space="preserve">COGS</x:t>
  </x:si>
  <x:si>
    <x:t xml:space="preserve">GP</x:t>
  </x:si>
  <x:si>
    <x:t xml:space="preserve">%GP</x:t>
  </x:si>
  <x:si>
    <x:t xml:space="preserve">wgg</x:t>
  </x:si>
  <x:si>
    <x:t xml:space="preserve">Tuna Saku 16 OZ</x:t>
  </x:si>
  <x:si>
    <x:t xml:space="preserve">Tuna Steak 4 OZ</x:t>
  </x:si>
  <x:si>
    <x:t xml:space="preserve">Tuna Steak 6 OZ</x:t>
  </x:si>
  <x:si>
    <x:t xml:space="preserve">Tuna Steak 8 OZ</x:t>
  </x:si>
  <x:si>
    <x:t xml:space="preserve">Tuna Steak 10 OZ</x:t>
  </x:si>
  <x:si>
    <x:t xml:space="preserve">Tuna Poke 1.5 CM</x:t>
  </x:si>
  <x:si>
    <x:t xml:space="preserve">Mendallion 2-3 OZ</x:t>
  </x:si>
  <x:si>
    <x:t xml:space="preserve">TOTAL A</x:t>
  </x:si>
  <x:si>
    <x:t xml:space="preserve">MTS</x:t>
  </x:si>
  <x:si>
    <x:t xml:space="preserve">SIDE PRODUCT</x:t>
  </x:si>
  <x:si>
    <x:t xml:space="preserve">WIP ST/SK</x:t>
  </x:si>
  <x:si>
    <x:t xml:space="preserve">WIP GM/PK</x:t>
  </x:si>
  <x:si>
    <x:t xml:space="preserve">EXCESS FG</x:t>
  </x:si>
  <x:si>
    <x:t xml:space="preserve">LOCAL</x:t>
  </x:si>
  <x:si>
    <x:t xml:space="preserve">LOSS</x:t>
  </x:si>
  <x:si>
    <x:t xml:space="preserve">TOTAL B</x:t>
  </x:si>
  <x:si>
    <x:t xml:space="preserve">TOTAL A+B</x:t>
  </x:si>
  <x:si>
    <x:t xml:space="preserve">EXCESS</x:t>
  </x:si>
  <x:si>
    <x:t xml:space="preserve">tabel</x:t>
  </x:si>
  <x:si>
    <x:t xml:space="preserve">harusnya</x:t>
  </x:si>
  <x:si>
    <x:t xml:space="preserve">selisih</x:t>
  </x:si>
  <x:si>
    <x:t xml:space="preserve">WGG</x:t>
  </x:si>
  <x:si>
    <x:t xml:space="preserve">TETELAN HITAM</x:t>
  </x:si>
  <x:si>
    <x:t xml:space="preserve">RM excess dr wgg</x:t>
  </x:si>
  <x:si>
    <x:t xml:space="preserve">WIP LOIN STOCK</x:t>
  </x:si>
  <x:si>
    <x:t xml:space="preserve">RM FG dari wgg</x:t>
  </x:si>
  <x:si>
    <x:t xml:space="preserve">WIP LOIN NEW</x:t>
  </x:si>
  <x:si>
    <x:t xml:space="preserve">TETELAN MERAH</x:t>
  </x:si>
  <x:si>
    <x:t xml:space="preserve">IGA</x:t>
  </x:si>
  <x:si>
    <x:t xml:space="preserve">TORO</x:t>
  </x:si>
  <x:si>
    <x:t xml:space="preserve">CLC-TAG</x:t>
  </x:si>
  <x:si>
    <x:t xml:space="preserve">KEPALA</x:t>
  </x:si>
  <x:si>
    <x:t xml:space="preserve">CLC</x:t>
  </x:si>
  <x:si>
    <x:t xml:space="preserve">SAKU 8</x:t>
  </x:si>
  <x:si>
    <x:t xml:space="preserve">TULANG</x:t>
  </x:si>
  <x:si>
    <x:t xml:space="preserve">SAKU 16</x:t>
  </x:si>
  <x:si>
    <x:t xml:space="preserve">KULIT</x:t>
  </x:si>
  <x:si>
    <x:t xml:space="preserve">STEAK 4</x:t>
  </x:si>
  <x:si>
    <x:t xml:space="preserve">POMPONG</x:t>
  </x:si>
  <x:si>
    <x:t xml:space="preserve">STEAK 6</x:t>
  </x:si>
  <x:si>
    <x:t xml:space="preserve">LIMBAH</x:t>
  </x:si>
  <x:si>
    <x:t xml:space="preserve">STEAK 8</x:t>
  </x:si>
  <x:si>
    <x:t xml:space="preserve">TRIMING</x:t>
  </x:si>
  <x:si>
    <x:t xml:space="preserve">STEAK 10</x:t>
  </x:si>
  <x:si>
    <x:t xml:space="preserve">POKE</x:t>
  </x:si>
  <x:si>
    <x:t xml:space="preserve">MEDALION 2-3 OZ</x:t>
  </x:si>
  <x:si>
    <x:t xml:space="preserve">Saku</x:t>
  </x:si>
  <x:si>
    <x:t xml:space="preserve">Steak</x:t>
  </x:si>
  <x:si>
    <x:t xml:space="preserve">FROZEN MEAT NEEDED</x:t>
  </x:si>
  <x:si>
    <x:t xml:space="preserve">FG</x:t>
  </x:si>
  <x:si>
    <x:t xml:space="preserve">WIP</x:t>
  </x:si>
  <x:si>
    <x:t xml:space="preserve">WIP LOIN STC</x:t>
  </x:si>
  <x:si>
    <x:t xml:space="preserve">TOTAL</x:t>
  </x:si>
  <x:si>
    <x:t xml:space="preserve">DIRECT LABOR</x:t>
  </x:si>
  <x:si>
    <x:t xml:space="preserve">OVER HEAD</x:t>
  </x:si>
  <x:si>
    <x:t xml:space="preserve">TETELAN A</x:t>
  </x:si>
  <x:si>
    <x:t xml:space="preserve">AIR</x:t>
  </x:si>
  <x:si>
    <x:t xml:space="preserve">TETELAN B</x:t>
  </x:si>
  <x:si>
    <x:t xml:space="preserve">CO</x:t>
  </x:si>
  <x:si>
    <x:t xml:space="preserve">TOTAL EXCESS</x:t>
  </x:si>
  <x:si>
    <x:t xml:space="preserve">PLASTIK PE</x:t>
  </x:si>
  <x:si>
    <x:t xml:space="preserve">40X90</x:t>
  </x:si>
  <x:si>
    <x:t xml:space="preserve">27X75</x:t>
  </x:si>
  <x:si>
    <x:t xml:space="preserve">20X40</x:t>
  </x:si>
  <x:si>
    <x:t xml:space="preserve">20X55</x:t>
  </x:si>
  <x:si>
    <x:t xml:space="preserve">12X22</x:t>
  </x:si>
  <x:si>
    <x:t xml:space="preserve">WRAP</x:t>
  </x:si>
  <x:si>
    <x:t xml:space="preserve">MC Harbour 10 Lbs</x:t>
  </x:si>
  <x:si>
    <x:t xml:space="preserve">MC Tuna Saku 16 OZ</x:t>
  </x:si>
  <x:si>
    <x:t xml:space="preserve">MC Tuna Steak 4 OZ</x:t>
  </x:si>
  <x:si>
    <x:t xml:space="preserve">MC Tuna Steak 6 OZ</x:t>
  </x:si>
  <x:si>
    <x:t xml:space="preserve">MC Tuna Steak 8 OZ</x:t>
  </x:si>
  <x:si>
    <x:t xml:space="preserve">MC Tuna Steak 10 OZ</x:t>
  </x:si>
  <x:si>
    <x:t xml:space="preserve">MC Tuna Poke 1.5 CM</x:t>
  </x:si>
  <x:si>
    <x:t xml:space="preserve">MC Mendallion 2-3 OZ</x:t>
  </x:si>
  <x:si>
    <x:t xml:space="preserve">PLASTIK VACUM 30X70/LOIN</x:t>
  </x:si>
  <x:si>
    <x:t xml:space="preserve">300x500 (CLC)</x:t>
  </x:si>
  <x:si>
    <x:t xml:space="preserve">167x275 (SAKU 16)</x:t>
  </x:si>
  <x:si>
    <x:t xml:space="preserve">Print Mida 4 Oz</x:t>
  </x:si>
  <x:si>
    <x:t xml:space="preserve">Print Mida 6 Oz</x:t>
  </x:si>
  <x:si>
    <x:t xml:space="preserve">Print Mida 8 Oz</x:t>
  </x:si>
  <x:si>
    <x:t xml:space="preserve">Print Mida 10 Oz</x:t>
  </x:si>
  <x:si>
    <x:t xml:space="preserve">Print Saku 16 Oz</x:t>
  </x:si>
  <x:si>
    <x:t xml:space="preserve">Print Poke Mida</x:t>
  </x:si>
  <x:si>
    <x:t xml:space="preserve">Polos 25 x 35 (Medalion)</x:t>
  </x:si>
  <x:si>
    <x:t xml:space="preserve">PLATIK PE ROLL 30</x:t>
  </x:si>
  <x:si>
    <x:t xml:space="preserve">PLATIK PE ROLL 120</x:t>
  </x:si>
  <x:si>
    <x:t xml:space="preserve">SARUNG TANGAN PLASTIK</x:t>
  </x:si>
  <x:si>
    <x:t xml:space="preserve">SARUNG TANGAN KAIN</x:t>
  </x:si>
  <x:si>
    <x:t xml:space="preserve">SARUNG TANGAN KARET K</x:t>
  </x:si>
  <x:si>
    <x:t xml:space="preserve">SARUNG TANGAN KARET H</x:t>
  </x:si>
  <x:si>
    <x:t xml:space="preserve">PRINT PV</x:t>
  </x:si>
  <x:si>
    <x:t xml:space="preserve">LABEL</x:t>
  </x:si>
  <x:si>
    <x:t xml:space="preserve">BUBLE WRAP</x:t>
  </x:si>
  <x:si>
    <x:t xml:space="preserve">LAKBAN</x:t>
  </x:si>
  <x:si>
    <x:t xml:space="preserve">MATA GERGAJI 3370</x:t>
  </x:si>
  <x:si>
    <x:t xml:space="preserve">MATA GERGAJI 2490</x:t>
  </x:si>
  <x:si>
    <x:t xml:space="preserve">KARUNG</x:t>
  </x:si>
  <x:si>
    <x:t xml:space="preserve">BATU ASAHAN</x:t>
  </x:si>
  <x:si>
    <x:t xml:space="preserve">KANEBO</x:t>
  </x:si>
  <x:si>
    <x:t xml:space="preserve">APRON</x:t>
  </x:si>
  <x:si>
    <x:t xml:space="preserve">KARET</x:t>
  </x:si>
  <x:si>
    <x:t xml:space="preserve">SPONS</x:t>
  </x:si>
  <x:si>
    <x:t xml:space="preserve">ES GILING</x:t>
  </x:si>
  <x:si>
    <x:t xml:space="preserve">LOGISTIK</x:t>
  </x:si>
  <x:si>
    <x:t xml:space="preserve">KG</x:t>
  </x:si>
  <x:si>
    <x:t xml:space="preserve">LOGISTIK PDG-JKT</x:t>
  </x:si>
  <x:si>
    <x:t xml:space="preserve">HANDLING GUDANG</x:t>
  </x:si>
  <x:si>
    <x:t xml:space="preserve">STORAGE</x:t>
  </x:si>
  <x:si>
    <x:t xml:space="preserve">STUFFING</x:t>
  </x:si>
  <x:si>
    <x:t xml:space="preserve">LOGISTIK PDG-LA</x:t>
  </x:si>
  <x:si>
    <x:t xml:space="preserve">PPS DOCs</x:t>
  </x:si>
  <x:si>
    <x:t xml:space="preserve">LAIN LAIN (Biaya Kirim)</x:t>
  </x:si>
  <x:si>
    <x:t xml:space="preserve">COGS (PC3)</x:t>
  </x:si>
  <x:si>
    <x:t xml:space="preserve">GP (PC3)</x:t>
  </x:si>
  <x:si>
    <x:t xml:space="preserve">%GP (PC3)</x:t>
  </x:si>
  <x:si>
    <x:t xml:space="preserve">DATE</x:t>
  </x:si>
  <x:si>
    <x:t xml:space="preserve">Nama Kapal</x:t>
  </x:si>
  <x:si>
    <x:t xml:space="preserve">Barcode</x:t>
  </x:si>
  <x:si>
    <x:t xml:space="preserve">Total RM (Kg)</x:t>
  </x:si>
  <x:si>
    <x:t xml:space="preserve">Jumlah Ekor</x:t>
  </x:si>
  <x:si>
    <x:t xml:space="preserve">Loin Fresh</x:t>
  </x:si>
  <x:si>
    <x:t xml:space="preserve">Yield</x:t>
  </x:si>
  <x:si>
    <x:t xml:space="preserve">KM. MUHIBA</x:t>
  </x:si>
  <x:si>
    <x:t xml:space="preserve">Description</x:t>
  </x:si>
  <x:si>
    <x:t xml:space="preserve">Size</x:t>
  </x:si>
  <x:si>
    <x:t xml:space="preserve">Dimension</x:t>
  </x:si>
  <x:si>
    <x:t xml:space="preserve">Weight Pcs/gr</x:t>
  </x:si>
  <x:si>
    <x:t xml:space="preserve">Qty Pcs/ Mc</x:t>
  </x:si>
  <x:si>
    <x:t xml:space="preserve">Package (Net Weight) / Kg</x:t>
  </x:si>
  <x:si>
    <x:t xml:space="preserve">Net Weight (Tolerance)/Kg</x:t>
  </x:si>
  <x:si>
    <x:t xml:space="preserve">Gross Weight</x:t>
  </x:si>
  <x:si>
    <x:t xml:space="preserve">Length</x:t>
  </x:si>
  <x:si>
    <x:t xml:space="preserve">Width</x:t>
  </x:si>
  <x:si>
    <x:t xml:space="preserve">Thickness</x:t>
  </x:si>
  <x:si>
    <x:t xml:space="preserve">Saku
AAA-AA
CO Treated</x:t>
  </x:si>
  <x:si>
    <x:t xml:space="preserve">8 oz</x:t>
  </x:si>
  <x:si>
    <x:t xml:space="preserve">15-18</x:t>
  </x:si>
  <x:si>
    <x:t xml:space="preserve">5-7</x:t>
  </x:si>
  <x:si>
    <x:t xml:space="preserve">2,5 – 2,9</x:t>
  </x:si>
  <x:si>
    <x:t xml:space="preserve">213 - 255</x:t>
  </x:si>
  <x:si>
    <x:t xml:space="preserve">18-19</x:t>
  </x:si>
  <x:si>
    <x:t xml:space="preserve">10 lbs (4,54)</x:t>
  </x:si>
  <x:si>
    <x:t xml:space="preserve">4,55 – 4,60</x:t>
  </x:si>
  <x:si>
    <x:t xml:space="preserve">4,67 – 4,70</x:t>
  </x:si>
  <x:si>
    <x:t xml:space="preserve">12/16 oz</x:t>
  </x:si>
  <x:si>
    <x:t xml:space="preserve">16-20</x:t>
  </x:si>
  <x:si>
    <x:t xml:space="preserve">8-12</x:t>
  </x:si>
  <x:si>
    <x:t xml:space="preserve">340-454</x:t>
  </x:si>
  <x:si>
    <x:t xml:space="preserve">11-12</x:t>
  </x:si>
  <x:si>
    <x:t xml:space="preserve">16 oz</x:t>
  </x:si>
  <x:si>
    <x:t xml:space="preserve">439-481</x:t>
  </x:si>
  <x:si>
    <x:t xml:space="preserve">10</x:t>
  </x:si>
  <x:si>
    <x:t xml:space="preserve">4 oz</x:t>
  </x:si>
  <x:si>
    <x:t xml:space="preserve">-</x:t>
  </x:si>
  <x:si>
    <x:t xml:space="preserve">2,5 – 3,0</x:t>
  </x:si>
  <x:si>
    <x:t xml:space="preserve">101-142</x:t>
  </x:si>
  <x:si>
    <x:t xml:space="preserve">37-40</x:t>
  </x:si>
  <x:si>
    <x:t xml:space="preserve">4,68 – 4,70</x:t>
  </x:si>
  <x:si>
    <x:t xml:space="preserve">Steak
AAA-AA
CO Treated</x:t>
  </x:si>
  <x:si>
    <x:t xml:space="preserve">6 oz</x:t>
  </x:si>
  <x:si>
    <x:t xml:space="preserve">143-199</x:t>
  </x:si>
  <x:si>
    <x:t xml:space="preserve">26-28</x:t>
  </x:si>
  <x:si>
    <x:t xml:space="preserve">200-255</x:t>
  </x:si>
  <x:si>
    <x:t xml:space="preserve">20-21</x:t>
  </x:si>
  <x:si>
    <x:t xml:space="preserve">4,66 – 4,70</x:t>
  </x:si>
  <x:si>
    <x:t xml:space="preserve">10 oz</x:t>
  </x:si>
  <x:si>
    <x:t xml:space="preserve">256-312</x:t>
  </x:si>
  <x:si>
    <x:t xml:space="preserve">16-17</x:t>
  </x:si>
  <x:si>
    <x:t xml:space="preserve">Medallion
 AA
 CO Treated</x:t>
  </x:si>
  <x:si>
    <x:t xml:space="preserve">2 – 3,5 oz ( 2lbs)</x:t>
  </x:si>
  <x:si>
    <x:t xml:space="preserve">57-100(910-920)</x:t>
  </x:si>
  <x:si>
    <x:t xml:space="preserve">5</x:t>
  </x:si>
  <x:si>
    <x:t xml:space="preserve">4,61 – 4,64</x:t>
  </x:si>
  <x:si>
    <x:t xml:space="preserve">Poke/cube
 AA
 CO Treated</x:t>
  </x:si>
  <x:si>
    <x:t xml:space="preserve">1 lbs</x:t>
  </x:si>
  <x:si>
    <x:t xml:space="preserve">± 1,5</x:t>
  </x:si>
  <x:si>
    <x:t xml:space="preserve">454-460</x:t>
  </x:si>
  <x:si>
    <x:t xml:space="preserve">4,65 – 46,8</x:t>
  </x:si>
  <x:si>
    <x:t xml:space="preserve">Groundmeat AA CO Treated</x:t>
  </x:si>
  <x:si>
    <x:t xml:space="preserve">A1 — INPUT KENDALI (kuning = boleh diubah)</x:t>
  </x:si>
  <x:si>
    <x:t xml:space="preserve">Parameter</x:t>
  </x:si>
  <x:si>
    <x:t xml:space="preserve">Nilai</x:t>
  </x:si>
  <x:si>
    <x:t xml:space="preserve">Satuan</x:t>
  </x:si>
  <x:si>
    <x:t xml:space="preserve">Sumber / formula</x:t>
  </x:si>
  <x:si>
    <x:t xml:space="preserve">Service level alfa</x:t>
  </x:si>
  <x:si>
    <x:t xml:space="preserve">x PO</x:t>
  </x:si>
  <x:si>
    <x:t xml:space="preserve">INPUT KEBIJAKAN. Batas fisiknya ada di A2 baris 73.</x:t>
  </x:si>
  <x:si>
    <x:t xml:space="preserve">Kapasitas olah harian</x:t>
  </x:si>
  <x:si>
    <x:t xml:space="preserve">kg whole/hari</x:t>
  </x:si>
  <x:si>
    <x:t xml:space="preserve">Notulensi Aruna</x:t>
  </x:si>
  <x:si>
    <x:t xml:space="preserve">Horizon siklus</x:t>
  </x:si>
  <x:si>
    <x:t xml:space="preserve">hari kerja</x:t>
  </x:si>
  <x:si>
    <x:t xml:space="preserve">Input; dipakai untuk cek kelayakan jadwal</x:t>
  </x:si>
  <x:si>
    <x:t xml:space="preserve">Kapasitas kontainer</x:t>
  </x:si>
  <x:si>
    <x:t xml:space="preserve">kg FG</x:t>
  </x:si>
  <x:si>
    <x:t xml:space="preserve">QnA Aris: 1 kontainer 19 ton FG</x:t>
  </x:si>
  <x:si>
    <x:t xml:space="preserve">Plafon shipment bulanan</x:t>
  </x:si>
  <x:si>
    <x:t xml:space="preserve">kg FG/bulan</x:t>
  </x:si>
  <x:si>
    <x:t xml:space="preserve">Tarif listrik</x:t>
  </x:si>
  <x:si>
    <x:t xml:space="preserve">Rp/kWh</x:t>
  </x:si>
  <x:si>
    <x:t xml:space="preserve">PLN I-3. Casebook menyebut ini data sekunder.</x:t>
  </x:si>
  <x:si>
    <x:t xml:space="preserve">Harga Ground Meat</x:t>
  </x:si>
  <x:si>
    <x:t xml:space="preserve">USD/lbs</x:t>
  </x:si>
  <x:si>
    <x:t xml:space="preserve">ASUMSI — notulensi: lebih murah dari Medallion (2,50)</x:t>
  </x:si>
  <x:si>
    <x:t xml:space="preserve">Plafon PO Ground Meat</x:t>
  </x:si>
  <x:si>
    <x:t xml:space="preserve">Belum ada PO. Isi bila Aruna konfirmasi.</x:t>
  </x:si>
  <x:si>
    <x:t xml:space="preserve">Jam operasi</x:t>
  </x:si>
  <x:si>
    <x:t xml:space="preserve">jam/hari</x:t>
  </x:si>
  <x:si>
    <x:t xml:space="preserve">ASUMSI</x:t>
  </x:si>
  <x:si>
    <x:t xml:space="preserve">Kurs</x:t>
  </x:si>
  <x:si>
    <x:t xml:space="preserve">Rp/USD</x:t>
  </x:si>
  <x:si>
    <x:t xml:space="preserve">Cost!H2 — dikunci Aruna pada Technical Meeting</x:t>
  </x:si>
  <x:si>
    <x:t xml:space="preserve">Konversi lbs ke kg</x:t>
  </x:si>
  <x:si>
    <x:t xml:space="preserve">lbs/kg</x:t>
  </x:si>
  <x:si>
    <x:t xml:space="preserve">Konstanta</x:t>
  </x:si>
  <x:si>
    <x:t xml:space="preserve">Pagu energi</x:t>
  </x:si>
  <x:si>
    <x:t xml:space="preserve">kWh/siklus</x:t>
  </x:si>
  <x:si>
    <x:t xml:space="preserve">Energi pada bauran historis, A3 baris 68</x:t>
  </x:si>
  <x:si>
    <x:t xml:space="preserve">Legenda: biru+kuning = input yang boleh diubah. Hitam = formula. Hijau = tautan antar-sheet. Tidak ada angka hasil hitungan yang diketik manual di workbook ini.</x:t>
  </x:si>
  <x:si>
    <x:t xml:space="preserve">A2 — JEJAK DERIVASI: yield, kalibrasi rho, kebutuhan bahan, alfa, dan ekonomi per SKU</x:t>
  </x:si>
  <x:si>
    <x:t xml:space="preserve">Kuning = angka input dengan sumber. Hijau = hasil kunci. Kolom L menampilkan rumusnya.</x:t>
  </x:si>
  <x:si>
    <x:t xml:space="preserve">LANGKAH 1 — Yield whole fish ke loin  (satu-satunya yield TERUKUR di dataset)</x:t>
  </x:si>
  <x:si>
    <x:t xml:space="preserve">Uraian</x:t>
  </x:si>
  <x:si>
    <x:t xml:space="preserve">Formula dan sumber</x:t>
  </x:si>
  <x:si>
    <x:t xml:space="preserve">Total bahan baku masuk</x:t>
  </x:si>
  <x:si>
    <x:t xml:space="preserve">kg whole</x:t>
  </x:si>
  <x:si>
    <x:t xml:space="preserve">Rumus:  SUM(Processing!D3:D68) — 66 batch</x:t>
  </x:si>
  <x:si>
    <x:t xml:space="preserve">Total loin fresh dihasilkan</x:t>
  </x:si>
  <x:si>
    <x:t xml:space="preserve">kg loin</x:t>
  </x:si>
  <x:si>
    <x:t xml:space="preserve">Rumus:  SUM(Processing!F3:F68)</x:t>
  </x:si>
  <x:si>
    <x:t xml:space="preserve">y = yield whole ke loin</x:t>
  </x:si>
  <x:si>
    <x:t xml:space="preserve">Rumus:  C7/C6</x:t>
  </x:si>
  <x:si>
    <x:t xml:space="preserve">LANGKAH 2 — rho benchmark KKP: dari mana angka 0,5242 dan 0,4245</x:t>
  </x:si>
  <x:si>
    <x:t xml:space="preserve">Komponen benchmark</x:t>
  </x:si>
  <x:si>
    <x:t xml:space="preserve">Keterangan</x:t>
  </x:si>
  <x:si>
    <x:t xml:space="preserve">Whole ke retouching (jalur Saku)</x:t>
  </x:si>
  <x:si>
    <x:t xml:space="preserve">Studi KKP pengolahan tuna loin</x:t>
  </x:si>
  <x:si>
    <x:t xml:space="preserve">Whole ke loin (jalur Saku)</x:t>
  </x:si>
  <x:si>
    <x:t xml:space="preserve">Studi KKP, penyebut jalur Saku</x:t>
  </x:si>
  <x:si>
    <x:t xml:space="preserve">Dirty loin ke clean loin (jalur Steak)</x:t>
  </x:si>
  <x:si>
    <x:t xml:space="preserve">Studi KKP</x:t>
  </x:si>
  <x:si>
    <x:t xml:space="preserve">Clean loin ke steak (jalur Steak)</x:t>
  </x:si>
  <x:si>
    <x:t xml:space="preserve">Whole ke cube (angka yang DIBUANG)</x:t>
  </x:si>
  <x:si>
    <x:t xml:space="preserve">Sumbernya menyatakan cube dibuat dari residual, jadi ini pangsa output bukan faktor konversi jalur khusus</x:t>
  </x:si>
  <x:si>
    <x:t xml:space="preserve">rho benchmark per SKU</x:t>
  </x:si>
  <x:si>
    <x:t xml:space="preserve">Saku 16 OZ</x:t>
  </x:si>
  <x:si>
    <x:t xml:space="preserve">Steak 4 OZ</x:t>
  </x:si>
  <x:si>
    <x:t xml:space="preserve">Steak 6 OZ</x:t>
  </x:si>
  <x:si>
    <x:t xml:space="preserve">Steak 8 OZ</x:t>
  </x:si>
  <x:si>
    <x:t xml:space="preserve">Steak 10 OZ</x:t>
  </x:si>
  <x:si>
    <x:t xml:space="preserve">Poke 1.5 CM</x:t>
  </x:si>
  <x:si>
    <x:t xml:space="preserve">Medallion 2-3 OZ</x:t>
  </x:si>
  <x:si>
    <x:t xml:space="preserve">Ground Meat</x:t>
  </x:si>
  <x:si>
    <x:t xml:space="preserve">Formula</x:t>
  </x:si>
  <x:si>
    <x:t xml:space="preserve">rho benchmark (loin ke SKU)</x:t>
  </x:si>
  <x:si>
    <x:t xml:space="preserve">Poke DIKOREKSI ke kelas potongan porsi. Memakai 0,0744/0,7909 = 0,0941 adalah salah kategori.</x:t>
  </x:si>
  <x:si>
    <x:t xml:space="preserve">Asal angka</x:t>
  </x:si>
  <x:si>
    <x:t xml:space="preserve">0,3946/0,7528</x:t>
  </x:si>
  <x:si>
    <x:t xml:space="preserve">0,6768x0,6272</x:t>
  </x:si>
  <x:si>
    <x:t xml:space="preserve">sama dgn steak</x:t>
  </x:si>
  <x:si>
    <x:t xml:space="preserve">asumsi</x:t>
  </x:si>
  <x:si>
    <x:t xml:space="preserve">Kolam WIP GM/PK (data Aruna)</x:t>
  </x:si>
  <x:si>
    <x:t xml:space="preserve">kg</x:t>
  </x:si>
  <x:si>
    <x:t xml:space="preserve">Poke FG aktual</x:t>
  </x:si>
  <x:si>
    <x:t xml:space="preserve">Konversi tersirat (uji silang)</x:t>
  </x:si>
  <x:si>
    <x:t xml:space="preserve">Rumus: C22 / C21 dengan C21 = Cost!M41 + Cost!M54. Masih understated karena kolam yang sama juga untuk Ground Meat. Jauh dari 9,41 persen.</x:t>
  </x:si>
  <x:si>
    <x:t xml:space="preserve">LANGKAH 3 — DARI MANA ANGKA 75.361 kg: kebutuhan bahan versi benchmark mentah</x:t>
  </x:si>
  <x:si>
    <x:t xml:space="preserve">Plafon PO (kg FG)</x:t>
  </x:si>
  <x:si>
    <x:t xml:space="preserve">Cost!E8:E14. Ground Meat dari A1_Kendali!B11.</x:t>
  </x:si>
  <x:si>
    <x:t xml:space="preserve">r benchmark = 1/(y x rho bm)</x:t>
  </x:si>
  <x:si>
    <x:t xml:space="preserve">Rumus:  1/(y x rho benchmark)</x:t>
  </x:si>
  <x:si>
    <x:t xml:space="preserve">Kebutuhan bahan (kg whole)</x:t>
  </x:si>
  <x:si>
    <x:t xml:space="preserve">Rumus: PO x r benchmark. TOTAL inilah angka 75 ribu itu.</x:t>
  </x:si>
  <x:si>
    <x:t xml:space="preserve">Pangsa tiap SKU</x:t>
  </x:si>
  <x:si>
    <x:t xml:space="preserve">LANGKAH 4 — Pembanding: bahan yang BENAR-BENAR dipakai Aruna untuk shipment yang sama</x:t>
  </x:si>
  <x:si>
    <x:t xml:space="preserve">Komponen bahan masuk</x:t>
  </x:si>
  <x:si>
    <x:t xml:space="preserve">WGG dibeli</x:t>
  </x:si>
  <x:si>
    <x:t xml:space="preserve">Cost!D28, harga Rp 44.500/kg di Cost!E28</x:t>
  </x:si>
  <x:si>
    <x:t xml:space="preserve">WIP ST/SK carry-in</x:t>
  </x:si>
  <x:si>
    <x:t xml:space="preserve">Cost!D31, harga Rp 70.000/kg</x:t>
  </x:si>
  <x:si>
    <x:t xml:space="preserve">Stok FG carry-in</x:t>
  </x:si>
  <x:si>
    <x:t xml:space="preserve">Rumus:  SUM(Cost!D36:D40)</x:t>
  </x:si>
  <x:si>
    <x:t xml:space="preserve">TOTAL bahan masuk</x:t>
  </x:si>
  <x:si>
    <x:t xml:space="preserve">Rumus: C34+C35+C36. Harus sama dengan Cost!D27 di bawah.</x:t>
  </x:si>
  <x:si>
    <x:t xml:space="preserve">Cek: Cost!D27</x:t>
  </x:si>
  <x:si>
    <x:t xml:space="preserve">Selisih</x:t>
  </x:si>
  <x:si>
    <x:t xml:space="preserve">Harus nol.</x:t>
  </x:si>
  <x:si>
    <x:t xml:space="preserve">LANGKAH 5 — FAKTOR KALIBRASI: kenapa 0,8297</x:t>
  </x:si>
  <x:si>
    <x:t xml:space="preserve">Kebutuhan versi benchmark</x:t>
  </x:si>
  <x:si>
    <x:t xml:space="preserve">Rumus:  K29 (langkah 3)</x:t>
  </x:si>
  <x:si>
    <x:t xml:space="preserve">Bahan riil Aruna</x:t>
  </x:si>
  <x:si>
    <x:t xml:space="preserve">Rumus:  C38 (langkah 4)</x:t>
  </x:si>
  <x:si>
    <x:t xml:space="preserve">Kelebihan model</x:t>
  </x:si>
  <x:si>
    <x:t xml:space="preserve">Rumus:  C43-C44</x:t>
  </x:si>
  <x:si>
    <x:t xml:space="preserve">Kelebihan dalam persen</x:t>
  </x:si>
  <x:si>
    <x:t xml:space="preserve">Benchmark lebih boros dari kenyataan Aruna.</x:t>
  </x:si>
  <x:si>
    <x:t xml:space="preserve">k = FAKTOR KALIBRASI</x:t>
  </x:si>
  <x:si>
    <x:t xml:space="preserve">Rumus:  C44/C43 = bahan riil dibagi kebutuhan benchmark</x:t>
  </x:si>
  <x:si>
    <x:t xml:space="preserve">LANGKAH 6 — rho kalibrasi dan r kalibrasi</x:t>
  </x:si>
  <x:si>
    <x:t xml:space="preserve">rho kalibrasi</x:t>
  </x:si>
  <x:si>
    <x:t xml:space="preserve">Rumus: rho benchmark dibagi k. DIBAGI, karena yield naik berarti kebutuhan bahan turun.</x:t>
  </x:si>
  <x:si>
    <x:t xml:space="preserve">r kalibrasi (kg whole per kg FG)</x:t>
  </x:si>
  <x:si>
    <x:t xml:space="preserve">Rumus:  1/(y x rho kalibrasi)</x:t>
  </x:si>
  <x:si>
    <x:t xml:space="preserve">Yield total whole ke FG</x:t>
  </x:si>
  <x:si>
    <x:t xml:space="preserve">Rumus:  1/r. Cara lain membaca baris di atasnya.</x:t>
  </x:si>
  <x:si>
    <x:t xml:space="preserve">LANGKAH 7 — Verifikasi: apakah setelah kalibrasi totalnya sudah pas</x:t>
  </x:si>
  <x:si>
    <x:t xml:space="preserve">Kebutuhan setelah kalibrasi</x:t>
  </x:si>
  <x:si>
    <x:t xml:space="preserve">Rumus:  PO x r kalibrasi</x:t>
  </x:si>
  <x:si>
    <x:t xml:space="preserve">Bahan riil Aruna (Cost!D27)</x:t>
  </x:si>
  <x:si>
    <x:t xml:space="preserve">Sisa pembulatan saja. Inilah bukti kalibrasi bekerja.</x:t>
  </x:si>
  <x:si>
    <x:t xml:space="preserve">LANGKAH 8 — Pasokan yang tersedia di Pelabuhan Bungus</x:t>
  </x:si>
  <x:si>
    <x:t xml:space="preserve">Kelompok size-grade</x:t>
  </x:si>
  <x:si>
    <x:t xml:space="preserve">30 UP Grade B</x:t>
  </x:si>
  <x:si>
    <x:t xml:space="preserve">SUMIFS ke ledger Raw Material, periode Nov 2024 sampai Mar 2025</x:t>
  </x:si>
  <x:si>
    <x:t xml:space="preserve">30 UP Grade C</x:t>
  </x:si>
  <x:si>
    <x:t xml:space="preserve">20 UP Grade C</x:t>
  </x:si>
  <x:si>
    <x:t xml:space="preserve">14 UP Grade C</x:t>
  </x:si>
  <x:si>
    <x:t xml:space="preserve">TOTAL PASOKAN</x:t>
  </x:si>
  <x:si>
    <x:t xml:space="preserve">Rumus:  SUM(C63:C66)</x:t>
  </x:si>
  <x:si>
    <x:t xml:space="preserve">LANGKAH 9 — ALFA MAKSIMUM: berapa yang secara fisik SANGGUP dijanjikan</x:t>
  </x:si>
  <x:si>
    <x:t xml:space="preserve">Formula dan makna</x:t>
  </x:si>
  <x:si>
    <x:t xml:space="preserve">Yang punya (pasokan)</x:t>
  </x:si>
  <x:si>
    <x:t xml:space="preserve">Rumus:  C67 (langkah 8)</x:t>
  </x:si>
  <x:si>
    <x:t xml:space="preserve">Yang butuh (PO 100 persen)</x:t>
  </x:si>
  <x:si>
    <x:t xml:space="preserve">Rumus:  K57 (langkah 7)</x:t>
  </x:si>
  <x:si>
    <x:t xml:space="preserve">ALFA MAKSIMUM</x:t>
  </x:si>
  <x:si>
    <x:t xml:space="preserve">Rumus: C71 dibagi C72, yaitu yang punya dibagi yang butuh. Inilah batas fisik Dempo.</x:t>
  </x:si>
  <x:si>
    <x:t xml:space="preserve">Kekurangan bahan</x:t>
  </x:si>
  <x:si>
    <x:t xml:space="preserve">PO 100 persen mustahil dipenuhi dari pasokan tercatat.</x:t>
  </x:si>
  <x:si>
    <x:t xml:space="preserve">Hari produksi dibutuhkan</x:t>
  </x:si>
  <x:si>
    <x:t xml:space="preserve">hari</x:t>
  </x:si>
  <x:si>
    <x:t xml:space="preserve">Rumus: pasokan dibagi kapasitas 4.500 kg per hari. Kapasitas BUKAN pengikat.</x:t>
  </x:si>
  <x:si>
    <x:t xml:space="preserve">LANGKAH 10 — Ekonomi per SKU (dibutuhkan untuk memilih alfa)</x:t>
  </x:si>
  <x:si>
    <x:t xml:space="preserve">Komponen Rp per kg FG</x:t>
  </x:si>
  <x:si>
    <x:t xml:space="preserve">Harga jual (USD/lbs)</x:t>
  </x:si>
  <x:si>
    <x:t xml:space="preserve">Price!C6:C12. Ground Meat dari A1_Kendali!B10.</x:t>
  </x:si>
  <x:si>
    <x:t xml:space="preserve">A1 menarik dari Cost!H2</x:t>
  </x:si>
  <x:si>
    <x:t xml:space="preserve">Pendapatan</x:t>
  </x:si>
  <x:si>
    <x:t xml:space="preserve">Rumus:  USD/lbs x 2,2046 x kurs</x:t>
  </x:si>
  <x:si>
    <x:t xml:space="preserve">Harga bahan per kg masuk</x:t>
  </x:si>
  <x:si>
    <x:t xml:space="preserve">Rumus:  Cost!F27/Cost!D27</x:t>
  </x:si>
  <x:si>
    <x:t xml:space="preserve">Biaya konversi per kg masuk</x:t>
  </x:si>
  <x:si>
    <x:t xml:space="preserve">Rumus:  (Processing+Handling+Logistik)/bahan masuk</x:t>
  </x:si>
  <x:si>
    <x:t xml:space="preserve">Nilai by-product per kg massa</x:t>
  </x:si>
  <x:si>
    <x:t xml:space="preserve">Rumus:  Cost!O64/Cost!M64</x:t>
  </x:si>
  <x:si>
    <x:t xml:space="preserve">Biaya bahan</x:t>
  </x:si>
  <x:si>
    <x:t xml:space="preserve">Rumus:  -r x harga bahan</x:t>
  </x:si>
  <x:si>
    <x:t xml:space="preserve">Biaya konversi</x:t>
  </x:si>
  <x:si>
    <x:t xml:space="preserve">Rumus:  -r x biaya konversi</x:t>
  </x:si>
  <x:si>
    <x:t xml:space="preserve">Kredit by-product</x:t>
  </x:si>
  <x:si>
    <x:t xml:space="preserve">Rumus: (r-1) x nilai by-product. (r-1) adalah massa yang TIDAK menjadi FG.</x:t>
  </x:si>
  <x:si>
    <x:t xml:space="preserve">Biaya energi</x:t>
  </x:si>
  <x:si>
    <x:t xml:space="preserve">Tautan A3_Energi baris 47</x:t>
  </x:si>
  <x:si>
    <x:t xml:space="preserve">m = MARGIN per kg FG</x:t>
  </x:si>
  <x:si>
    <x:t xml:space="preserve">Rumus:  pendapatan - bahan - konversi + by-product - energi</x:t>
  </x:si>
  <x:si>
    <x:t xml:space="preserve">m per kg LOIN (koefisien LP)</x:t>
  </x:si>
  <x:si>
    <x:t xml:space="preserve">Rumus:  m per kg FG x rho kalibrasi</x:t>
  </x:si>
  <x:si>
    <x:t xml:space="preserve">Margin bauran historis</x:t>
  </x:si>
  <x:si>
    <x:t xml:space="preserve">Cek: GP (PC3) Aruna</x:t>
  </x:si>
  <x:si>
    <x:t xml:space="preserve">Selisih kecil dari Ground Meat yang tidak ada di bauran historis.</x:t>
  </x:si>
  <x:si>
    <x:t xml:space="preserve">CATATAN KETERBATASAN</x:t>
  </x:si>
  <x:si>
    <x:t xml:space="preserve">Kalibrasi mengunci TOTAL bahan, bukan pembagian antar-SKU. Steak 4, 6, 8, 10 dan Poke semuanya berakhir di rho yang sama karena benchmark hanya memberi satu angka untuk kelas steak.</x:t>
  </x:si>
  <x:si>
    <x:t xml:space="preserve">rho Medallion dan Ground Meat adalah asumsi tanpa benchmark pembanding.</x:t>
  </x:si>
  <x:si>
    <x:t xml:space="preserve">Belum dikonfirmasi apakah biaya listrik sudah termasuk di dalam OVER HEAD sheet Cost. Bila ya, biaya energi terhitung ganda.</x:t>
  </x:si>
  <x:si>
    <x:t xml:space="preserve">A3 — MODEL ENERGI: parameter, peta proses, perhitungan per tahap, before vs after</x:t>
  </x:si>
  <x:si>
    <x:t xml:space="preserve">BAGIAN A — PARAMETER MESIN (kuning = input, ada sumbernya)</x:t>
  </x:si>
  <x:si>
    <x:t xml:space="preserve">Kode</x:t>
  </x:si>
  <x:si>
    <x:t xml:space="preserve">Sumber dan status</x:t>
  </x:si>
  <x:si>
    <x:t xml:space="preserve">P1</x:t>
  </x:si>
  <x:si>
    <x:t xml:space="preserve">Daya ruang proses berpendingin</x:t>
  </x:si>
  <x:si>
    <x:t xml:space="preserve">kW</x:t>
  </x:si>
  <x:si>
    <x:t xml:space="preserve">ASUMSI — perlu name plate chiller Bungus</x:t>
  </x:si>
  <x:si>
    <x:t xml:space="preserve">P2</x:t>
  </x:si>
  <x:si>
    <x:t xml:space="preserve">Daya bandsaw (benzo)</x:t>
  </x:si>
  <x:si>
    <x:t xml:space="preserve">SEKUNDER — spek bandsaw ikan kelas ADM-400</x:t>
  </x:si>
  <x:si>
    <x:t xml:space="preserve">P3</x:t>
  </x:si>
  <x:si>
    <x:t xml:space="preserve">Waktu satu kali potong</x:t>
  </x:si>
  <x:si>
    <x:t xml:space="preserve">detik</x:t>
  </x:si>
  <x:si>
    <x:t xml:space="preserve">SEKUNDER</x:t>
  </x:si>
  <x:si>
    <x:t xml:space="preserve">P4</x:t>
  </x:si>
  <x:si>
    <x:t xml:space="preserve">Load factor bandsaw</x:t>
  </x:si>
  <x:si>
    <x:t xml:space="preserve">ASUMSI — mesin jalan kontinu, no-load 40-60 persen daya nominal</x:t>
  </x:si>
  <x:si>
    <x:t xml:space="preserve">P5</x:t>
  </x:si>
  <x:si>
    <x:t xml:space="preserve">Daya dicer</x:t>
  </x:si>
  <x:si>
    <x:t xml:space="preserve">SEKUNDER — kelas Urschel M6, hanya Poke</x:t>
  </x:si>
  <x:si>
    <x:t xml:space="preserve">P6</x:t>
  </x:si>
  <x:si>
    <x:t xml:space="preserve">Kapasitas dicer</x:t>
  </x:si>
  <x:si>
    <x:t xml:space="preserve">kg/jam</x:t>
  </x:si>
  <x:si>
    <x:t xml:space="preserve">P7</x:t>
  </x:si>
  <x:si>
    <x:t xml:space="preserve">Daya CO injection</x:t>
  </x:si>
  <x:si>
    <x:t xml:space="preserve">P8</x:t>
  </x:si>
  <x:si>
    <x:t xml:space="preserve">Waktu tinggal CO</x:t>
  </x:si>
  <x:si>
    <x:t xml:space="preserve">jam/100 kg</x:t>
  </x:si>
  <x:si>
    <x:t xml:space="preserve">P9</x:t>
  </x:si>
  <x:si>
    <x:t xml:space="preserve">Daya vacuum packing</x:t>
  </x:si>
  <x:si>
    <x:t xml:space="preserve">P10</x:t>
  </x:si>
  <x:si>
    <x:t xml:space="preserve">Kapasitas vacuum</x:t>
  </x:si>
  <x:si>
    <x:t xml:space="preserve">P11</x:t>
  </x:si>
  <x:si>
    <x:t xml:space="preserve">Daya metal detector</x:t>
  </x:si>
  <x:si>
    <x:t xml:space="preserve">P12</x:t>
  </x:si>
  <x:si>
    <x:t xml:space="preserve">Kapasitas metal detector</x:t>
  </x:si>
  <x:si>
    <x:t xml:space="preserve">P13</x:t>
  </x:si>
  <x:si>
    <x:t xml:space="preserve">Air Blast Freezer</x:t>
  </x:si>
  <x:si>
    <x:t xml:space="preserve">kWh/ton FG</x:t>
  </x:si>
  <x:si>
    <x:t xml:space="preserve">SEKUNDER — KESDM, cold chain perikanan Indonesia</x:t>
  </x:si>
  <x:si>
    <x:t xml:space="preserve">P14</x:t>
  </x:si>
  <x:si>
    <x:t xml:space="preserve">Cold storage</x:t>
  </x:si>
  <x:si>
    <x:t xml:space="preserve">kWh/ton/hari</x:t>
  </x:si>
  <x:si>
    <x:t xml:space="preserve">SEKUNDER — KESDM</x:t>
  </x:si>
  <x:si>
    <x:t xml:space="preserve">P15</x:t>
  </x:si>
  <x:si>
    <x:t xml:space="preserve">Lama simpan sebelum shipment</x:t>
  </x:si>
  <x:si>
    <x:t xml:space="preserve">P16</x:t>
  </x:si>
  <x:si>
    <x:t xml:space="preserve">Kompresor dan penerangan</x:t>
  </x:si>
  <x:si>
    <x:t xml:space="preserve">P17</x:t>
  </x:si>
  <x:si>
    <x:t xml:space="preserve">IPAL</x:t>
  </x:si>
  <x:si>
    <x:t xml:space="preserve">P18</x:t>
  </x:si>
  <x:si>
    <x:t xml:space="preserve">P19</x:t>
  </x:si>
  <x:si>
    <x:t xml:space="preserve">NOTULENSI ARUNA</x:t>
  </x:si>
  <x:si>
    <x:t xml:space="preserve">P20</x:t>
  </x:si>
  <x:si>
    <x:t xml:space="preserve">SEKUNDER — PLN I-3</x:t>
  </x:si>
  <x:si>
    <x:t xml:space="preserve">Throughput pabrik (turunan)</x:t>
  </x:si>
  <x:si>
    <x:t xml:space="preserve">kg whole/jam</x:t>
  </x:si>
  <x:si>
    <x:t xml:space="preserve">Rumus:  P19/P18</x:t>
  </x:si>
  <x:si>
    <x:t xml:space="preserve">BAGIAN B — PETA PROSES: di mana energi dipakai</x:t>
  </x:si>
  <x:si>
    <x:t xml:space="preserve">Tahap</x:t>
  </x:si>
  <x:si>
    <x:t xml:space="preserve">Nama proses</x:t>
  </x:si>
  <x:si>
    <x:t xml:space="preserve">Aliran material</x:t>
  </x:si>
  <x:si>
    <x:t xml:space="preserve">Mesin / utilitas</x:t>
  </x:si>
  <x:si>
    <x:t xml:space="preserve">Basis alokasi</x:t>
  </x:si>
  <x:si>
    <x:t xml:space="preserve">Catatan</x:t>
  </x:si>
  <x:si>
    <x:t xml:space="preserve">1</x:t>
  </x:si>
  <x:si>
    <x:t xml:space="preserve">Penerimaan dan chilling</x:t>
  </x:si>
  <x:si>
    <x:t xml:space="preserve">Whole fish masuk</x:t>
  </x:si>
  <x:si>
    <x:t xml:space="preserve">Ruang proses berpendingin</x:t>
  </x:si>
  <x:si>
    <x:t xml:space="preserve">P1, P18, P19</x:t>
  </x:si>
  <x:si>
    <x:t xml:space="preserve">Per kg whole yang lewat</x:t>
  </x:si>
  <x:si>
    <x:t xml:space="preserve">Ikan didinginkan begitu turun dari kapal</x:t>
  </x:si>
  <x:si>
    <x:t xml:space="preserve">2</x:t>
  </x:si>
  <x:si>
    <x:t xml:space="preserve">Loining</x:t>
  </x:si>
  <x:si>
    <x:t xml:space="preserve">Whole ke WGG ke Loin</x:t>
  </x:si>
  <x:si>
    <x:t xml:space="preserve">Manual dan ruang proses</x:t>
  </x:si>
  <x:si>
    <x:t xml:space="preserve">Kepala, tulang, kulit, jeroan terpisah. Yield 59,07 persen</x:t>
  </x:si>
  <x:si>
    <x:t xml:space="preserve">3</x:t>
  </x:si>
  <x:si>
    <x:t xml:space="preserve">CO injection</x:t>
  </x:si>
  <x:si>
    <x:t xml:space="preserve">Loin</x:t>
  </x:si>
  <x:si>
    <x:t xml:space="preserve">Chamber CO</x:t>
  </x:si>
  <x:si>
    <x:t xml:space="preserve">P7, P8</x:t>
  </x:si>
  <x:si>
    <x:t xml:space="preserve">Per kg FG</x:t>
  </x:si>
  <x:si>
    <x:t xml:space="preserve">Gas CO mempertahankan warna merah daging</x:t>
  </x:si>
  <x:si>
    <x:t xml:space="preserve">4</x:t>
  </x:si>
  <x:si>
    <x:t xml:space="preserve">Benzo cutting</x:t>
  </x:si>
  <x:si>
    <x:t xml:space="preserve">Loin ke potongan</x:t>
  </x:si>
  <x:si>
    <x:t xml:space="preserve">Bandsaw</x:t>
  </x:si>
  <x:si>
    <x:t xml:space="preserve">P2, P3, P4</x:t>
  </x:si>
  <x:si>
    <x:t xml:space="preserve">Per potongan per kg FG</x:t>
  </x:si>
  <x:si>
    <x:t xml:space="preserve">Mesin utama menurut Aruna</x:t>
  </x:si>
  <x:si>
    <x:t xml:space="preserve">Dicing</x:t>
  </x:si>
  <x:si>
    <x:t xml:space="preserve">Loin ke dadu</x:t>
  </x:si>
  <x:si>
    <x:t xml:space="preserve">Dicer</x:t>
  </x:si>
  <x:si>
    <x:t xml:space="preserve">P5, P6</x:t>
  </x:si>
  <x:si>
    <x:t xml:space="preserve">Hanya untuk Poke 1,5 cm</x:t>
  </x:si>
  <x:si>
    <x:t xml:space="preserve">6</x:t>
  </x:si>
  <x:si>
    <x:t xml:space="preserve">Trimming dan portioning</x:t>
  </x:si>
  <x:si>
    <x:t xml:space="preserve">Potongan ke FG</x:t>
  </x:si>
  <x:si>
    <x:t xml:space="preserve">Ruang proses</x:t>
  </x:si>
  <x:si>
    <x:t xml:space="preserve">P1 dan waktu tinggal</x:t>
  </x:si>
  <x:si>
    <x:t xml:space="preserve">Per kg whole x waktu tinggal</x:t>
  </x:si>
  <x:si>
    <x:t xml:space="preserve">Saku paling lama karena harus rapi dan seragam</x:t>
  </x:si>
  <x:si>
    <x:t xml:space="preserve">7</x:t>
  </x:si>
  <x:si>
    <x:t xml:space="preserve">Vacuum packing</x:t>
  </x:si>
  <x:si>
    <x:t xml:space="preserve">Vacuum sealer</x:t>
  </x:si>
  <x:si>
    <x:t xml:space="preserve">P9, P10</x:t>
  </x:si>
  <x:si>
    <x:t xml:space="preserve">Semua SKU sama</x:t>
  </x:si>
  <x:si>
    <x:t xml:space="preserve">8</x:t>
  </x:si>
  <x:si>
    <x:t xml:space="preserve">Metal detector</x:t>
  </x:si>
  <x:si>
    <x:t xml:space="preserve">P11, P12</x:t>
  </x:si>
  <x:si>
    <x:t xml:space="preserve">Syarat mutu ekspor</x:t>
  </x:si>
  <x:si>
    <x:t xml:space="preserve">9</x:t>
  </x:si>
  <x:si>
    <x:t xml:space="preserve">Pembekuan</x:t>
  </x:si>
  <x:si>
    <x:t xml:space="preserve">Pembekuan cepat sampai suhu inti target</x:t>
  </x:si>
  <x:si>
    <x:t xml:space="preserve">Penyimpanan beku</x:t>
  </x:si>
  <x:si>
    <x:t xml:space="preserve">P14, P15</x:t>
  </x:si>
  <x:si>
    <x:t xml:space="preserve">Per kg FG per hari</x:t>
  </x:si>
  <x:si>
    <x:t xml:space="preserve">Makin lama stok mengendap makin besar energinya</x:t>
  </x:si>
  <x:si>
    <x:t xml:space="preserve">11</x:t>
  </x:si>
  <x:si>
    <x:t xml:space="preserve">Utilitas dan limbah</x:t>
  </x:si>
  <x:si>
    <x:t xml:space="preserve">Seluruh pabrik</x:t>
  </x:si>
  <x:si>
    <x:t xml:space="preserve">Kompresor, lampu, IPAL</x:t>
  </x:si>
  <x:si>
    <x:t xml:space="preserve">P16, P17</x:t>
  </x:si>
  <x:si>
    <x:t xml:space="preserve">IPAL sebanding massa yang dibuang, yaitu (r-1)</x:t>
  </x:si>
  <x:si>
    <x:t xml:space="preserve">BAGIAN C — PARAMETER PER SKU</x:t>
  </x:si>
  <x:si>
    <x:t xml:space="preserve">Sumber</x:t>
  </x:si>
  <x:si>
    <x:t xml:space="preserve">Berat per pcs (gram)</x:t>
  </x:si>
  <x:si>
    <x:t xml:space="preserve">Titik tengah rentang berat pada sheet Product</x:t>
  </x:si>
  <x:si>
    <x:t xml:space="preserve">Potongan per kg FG</x:t>
  </x:si>
  <x:si>
    <x:t xml:space="preserve">Rumus:  1000/berat per pcs</x:t>
  </x:si>
  <x:si>
    <x:t xml:space="preserve">Menit tinggal ruang proses</x:t>
  </x:si>
  <x:si>
    <x:t xml:space="preserve">ASUMSI. Saku 12 menit karena trimming presisi, Poke 2 menit karena hanya dadu. Perlu studi waktu.</x:t>
  </x:si>
  <x:si>
    <x:t xml:space="preserve">r = kg whole per kg FG</x:t>
  </x:si>
  <x:si>
    <x:t xml:space="preserve">Tautan A2 langkah 6. Inilah jembatan yield ke energi.</x:t>
  </x:si>
  <x:si>
    <x:t xml:space="preserve">Biaya energi Rp per kg FG</x:t>
  </x:si>
  <x:si>
    <x:t xml:space="preserve">Rumus:  total kWh x P20  (dipakai A2 baris 88)</x:t>
  </x:si>
  <x:si>
    <x:t xml:space="preserve">BAGIAN D — ENERGI PER TAHAP (kWh per kg FG)</x:t>
  </x:si>
  <x:si>
    <x:t xml:space="preserve">A</x:t>
  </x:si>
  <x:si>
    <x:t xml:space="preserve">A. Ruang proses (tahap 1,2,6)</x:t>
  </x:si>
  <x:si>
    <x:t xml:space="preserve">Rumus:  (P1/throughput) x r x (menit/4)</x:t>
  </x:si>
  <x:si>
    <x:t xml:space="preserve">B</x:t>
  </x:si>
  <x:si>
    <x:t xml:space="preserve">B. Bandsaw (tahap 4)</x:t>
  </x:si>
  <x:si>
    <x:t xml:space="preserve">Rumus:  P2 x (potongan x P3/3600) / P4</x:t>
  </x:si>
  <x:si>
    <x:t xml:space="preserve">C</x:t>
  </x:si>
  <x:si>
    <x:t xml:space="preserve">C. Dicer (tahap 5)</x:t>
  </x:si>
  <x:si>
    <x:t xml:space="preserve">Rumus:  P5/P6 (hanya Poke)</x:t>
  </x:si>
  <x:si>
    <x:t xml:space="preserve">D</x:t>
  </x:si>
  <x:si>
    <x:t xml:space="preserve">D. CO injection (tahap 3)</x:t>
  </x:si>
  <x:si>
    <x:t xml:space="preserve">Rumus:  P7 x P8/100</x:t>
  </x:si>
  <x:si>
    <x:t xml:space="preserve">E</x:t>
  </x:si>
  <x:si>
    <x:t xml:space="preserve">E. Vacuum (tahap 7)</x:t>
  </x:si>
  <x:si>
    <x:t xml:space="preserve">Rumus:  P9/P10</x:t>
  </x:si>
  <x:si>
    <x:t xml:space="preserve">F</x:t>
  </x:si>
  <x:si>
    <x:t xml:space="preserve">F. Metal detector (tahap 8)</x:t>
  </x:si>
  <x:si>
    <x:t xml:space="preserve">Rumus:  P11/P12</x:t>
  </x:si>
  <x:si>
    <x:t xml:space="preserve">G</x:t>
  </x:si>
  <x:si>
    <x:t xml:space="preserve">G. Air Blast Freezer (tahap 9)</x:t>
  </x:si>
  <x:si>
    <x:t xml:space="preserve">Rumus:  P13/1000</x:t>
  </x:si>
  <x:si>
    <x:t xml:space="preserve">H</x:t>
  </x:si>
  <x:si>
    <x:t xml:space="preserve">H. Cold storage (tahap 10)</x:t>
  </x:si>
  <x:si>
    <x:t xml:space="preserve">Rumus:  P14 x P15/1000</x:t>
  </x:si>
  <x:si>
    <x:t xml:space="preserve">I</x:t>
  </x:si>
  <x:si>
    <x:t xml:space="preserve">I. Kompresor dan lampu (tahap 11)</x:t>
  </x:si>
  <x:si>
    <x:t xml:space="preserve">Rumus:  (P16/throughput) x r</x:t>
  </x:si>
  <x:si>
    <x:t xml:space="preserve">J</x:t>
  </x:si>
  <x:si>
    <x:t xml:space="preserve">J. IPAL (tahap 11)</x:t>
  </x:si>
  <x:si>
    <x:t xml:space="preserve">Rumus:  (P17/throughput) x MAX(r-1,0)</x:t>
  </x:si>
  <x:si>
    <x:t xml:space="preserve">TOTAL kWh per kg FG</x:t>
  </x:si>
  <x:si>
    <x:t xml:space="preserve">Rumus:  jumlah tahap A sampai J</x:t>
  </x:si>
  <x:si>
    <x:t xml:space="preserve">Indeks intensitas (terendah = 1,00)</x:t>
  </x:si>
  <x:si>
    <x:t xml:space="preserve">Ini INDEKS, tak berdimensi. Jangan dipakai sebagai kWh/kg.</x:t>
  </x:si>
  <x:si>
    <x:t xml:space="preserve">BAGIAN E — BEFORE vs AFTER</x:t>
  </x:si>
  <x:si>
    <x:t xml:space="preserve">Kondisi</x:t>
  </x:si>
  <x:si>
    <x:t xml:space="preserve">FG bauran historis (kg)</x:t>
  </x:si>
  <x:si>
    <x:t xml:space="preserve">Energi historis (kWh)</x:t>
  </x:si>
  <x:si>
    <x:t xml:space="preserve">FG hasil optimasi (kg)</x:t>
  </x:si>
  <x:si>
    <x:t xml:space="preserve">Energi hasil optimasi (kWh)</x:t>
  </x:si>
  <x:si>
    <x:t xml:space="preserve">Perubahan energi</x:t>
  </x:si>
  <x:si>
    <x:t xml:space="preserve">Intensitas historis (kWh/kg FG)</x:t>
  </x:si>
  <x:si>
    <x:t xml:space="preserve">Intensitas optimasi (kWh/kg FG)</x:t>
  </x:si>
  <x:si>
    <x:t xml:space="preserve">Biaya energi historis (Rp)</x:t>
  </x:si>
  <x:si>
    <x:t xml:space="preserve">Biaya energi optimasi (Rp)</x:t>
  </x:si>
  <x:si>
    <x:t xml:space="preserve">Margin per kWh historis (Rp)</x:t>
  </x:si>
  <x:si>
    <x:t xml:space="preserve">Margin per kWh optimasi (Rp)</x:t>
  </x:si>
  <x:si>
    <x:t xml:space="preserve">Baca bagian ini: tahap A, I dan J semuanya dikalikan r. Artinya energi turun ketika yield naik dan stok tidak mengendap, bukan ketika mesin diganti. Metrik yang paling jujur bukan kWh per kg melainkan margin per kWh, karena bauran produk ikut bergeser.</x:t>
  </x:si>
  <x:si>
    <x:t xml:space="preserve">A4 — MODEL LP: alokasi loin ke SKU (kuning = variabel keputusan Solver)</x:t>
  </x:si>
  <x:si>
    <x:t xml:space="preserve">Variabel keputusan x(i,j) = kg LOIN dari kelompok size-grade i ke SKU j. Nilai awal sudah berisi solusi optimal; jalankan Solver untuk verifikasi.</x:t>
  </x:si>
  <x:si>
    <x:t xml:space="preserve">Size-grade \ SKU</x:t>
  </x:si>
  <x:si>
    <x:t xml:space="preserve">Total loin</x:t>
  </x:si>
  <x:si>
    <x:t xml:space="preserve">Loin tersedia</x:t>
  </x:si>
  <x:si>
    <x:t xml:space="preserve">Status</x:t>
  </x:si>
  <x:si>
    <x:t xml:space="preserve">Ringkasan per SKU</x:t>
  </x:si>
  <x:si>
    <x:t xml:space="preserve">Loin dialokasikan (kg)</x:t>
  </x:si>
  <x:si>
    <x:t xml:space="preserve">PRODUKSI FG (kg)</x:t>
  </x:si>
  <x:si>
    <x:t xml:space="preserve">Lantai layanan alfa x PO</x:t>
  </x:si>
  <x:si>
    <x:t xml:space="preserve">m per kg loin</x:t>
  </x:si>
  <x:si>
    <x:t xml:space="preserve">Kontribusi margin (Rp)</x:t>
  </x:si>
  <x:si>
    <x:t xml:space="preserve">Konsumsi energi (kWh)</x:t>
  </x:si>
  <x:si>
    <x:t xml:space="preserve">PEMBATAS FUNGSIONAL</x:t>
  </x:si>
  <x:si>
    <x:t xml:space="preserve">Pembatas</x:t>
  </x:si>
  <x:si>
    <x:t xml:space="preserve">Op</x:t>
  </x:si>
  <x:si>
    <x:t xml:space="preserve">Batas</x:t>
  </x:si>
  <x:si>
    <x:t xml:space="preserve">Sumber batas</x:t>
  </x:si>
  <x:si>
    <x:t xml:space="preserve">Kapasitas kontainer (kg FG)</x:t>
  </x:si>
  <x:si>
    <x:t xml:space="preserve">&lt;=</x:t>
  </x:si>
  <x:si>
    <x:t xml:space="preserve">QnA Aris: 1 kontainer 19 ton</x:t>
  </x:si>
  <x:si>
    <x:t xml:space="preserve">Plafon shipment bulanan (kg FG)</x:t>
  </x:si>
  <x:si>
    <x:t xml:space="preserve">60 ton per bulan, diprorata ke horizon</x:t>
  </x:si>
  <x:si>
    <x:t xml:space="preserve">Kapasitas olah (kg whole)</x:t>
  </x:si>
  <x:si>
    <x:t xml:space="preserve">4.500 kg per hari x horizon</x:t>
  </x:si>
  <x:si>
    <x:t xml:space="preserve">Pagu energi (kWh)</x:t>
  </x:si>
  <x:si>
    <x:t xml:space="preserve">Energi pada bauran historis</x:t>
  </x:si>
  <x:si>
    <x:t xml:space="preserve">Cek kelayakan jadwal</x:t>
  </x:si>
  <x:si>
    <x:t xml:space="preserve">FUNGSI TUJUAN Z (MAKSIMUMKAN)</x:t>
  </x:si>
  <x:si>
    <x:t xml:space="preserve">Margin bauran historis (Rp)</x:t>
  </x:si>
  <x:si>
    <x:t xml:space="preserve">Selisih vs historis</x:t>
  </x:si>
  <x:si>
    <x:t xml:space="preserve">MATRIKS KELAYAKAN (1 = boleh)</x:t>
  </x:si>
  <x:si>
    <x:t xml:space="preserve">Size-grade</x:t>
  </x:si>
  <x:si>
    <x:t xml:space="preserve">Dasar</x:t>
  </x:si>
  <x:si>
    <x:t xml:space="preserve">Mutu tertinggi, semua rute terbuka</x:t>
  </x:si>
  <x:si>
    <x:t xml:space="preserve">Loin besar, semua rute terbuka</x:t>
  </x:si>
  <x:si>
    <x:t xml:space="preserve">Saku 16 oz butuh loin 16-20 x 8-12 cm, 439-481 gr per pcs (sheet Product). Tidak dari 20 UP.</x:t>
  </x:si>
  <x:si>
    <x:t xml:space="preserve">Idem, tidak dari 14 UP</x:t>
  </x:si>
  <x:si>
    <x:t xml:space="preserve">Rute WIP menurut QnA Aris: WIP ST/SK ke Steak atau Saku; WIP GM/PK ke Ground Meat atau Poke. Pembagian kedua aliran dibiarkan menjadi keputusan Solver, persis kebebasan yang disebut Aruna.</x:t>
  </x:si>
  <x:si>
    <x:t xml:space="preserve">A5 — KURVA SERVICE LEVEL vs MARGIN: kenapa 70 persen dan bukan 85 persen</x:t>
  </x:si>
  <x:si>
    <x:t xml:space="preserve">Logika bentuk tertutup: hanya Saku yang margin-nya positif, sehingga setelah semua SKU dipenuhi alfa, SISA bahan pasti diarahkan ke Saku sampai plafon PO-nya. Itulah struktur solusi optimal LP di rentang ini.</x:t>
  </x:si>
  <x:si>
    <x:t xml:space="preserve">alfa</x:t>
  </x:si>
  <x:si>
    <x:t xml:space="preserve">Bahan untuk alfa</x:t>
  </x:si>
  <x:si>
    <x:t xml:space="preserve">Sisa bahan</x:t>
  </x:si>
  <x:si>
    <x:t xml:space="preserve">Tambahan Saku</x:t>
  </x:si>
  <x:si>
    <x:t xml:space="preserve">Total FG</x:t>
  </x:si>
  <x:si>
    <x:t xml:space="preserve">Margin Z</x:t>
  </x:si>
  <x:si>
    <x:t xml:space="preserve">Biaya per 1 poin persen</x:t>
  </x:si>
  <x:si>
    <x:t xml:space="preserve">Hanya Saku. Batas atas ekonomi murni.</x:t>
  </x:si>
  <x:si>
    <x:t xml:space="preserve">DIPILIH — tujuh SKU jalan, Saku masih penuh</x:t>
  </x:si>
  <x:si>
    <x:t xml:space="preserve">Titik belok. Di atas ini Saku mulai dipotong.</x:t>
  </x:si>
  <x:si>
    <x:t xml:space="preserve">Mendekati alfa maksimum; bahan habis</x:t>
  </x:si>
  <x:si>
    <x:t xml:space="preserve">alfa MAKSIMUM</x:t>
  </x:si>
  <x:si>
    <x:t xml:space="preserve">Batas fisik: pasokan dibagi kebutuhan PO 100 persen</x:t>
  </x:si>
  <x:si>
    <x:t xml:space="preserve">Baca kolom H: sampai alfa 80 persen biaya per poin persen layanan sekitar Rp 3,4 juta karena dibeli dari bahan yang menganggur, Saku tetap penuh. Di atas 80 persen bahan habis sehingga menaikkan layanan berarti memotong Saku, dan biayanya melonjak sekitar enam kali lipat. Aruna hari ini berada di sisi mahal kurva ini.</x:t>
  </x:si>
  <x:si>
    <x:t xml:space="preserve">Bentuk tertutup ini sah HANYA karena Saku satu-satunya SKU bermargin positif. Bila harga jual berubah sampai SKU lain ikut positif, kurva ini harus dihitung ulang dengan Solver.</x:t>
  </x:si>
  <x:si>
    <x:t xml:space="preserve">A6 — TITIK IMPAS PER SKU DAN UJI PARAMETER</x:t>
  </x:si>
  <x:si>
    <x:t xml:space="preserve">BAGIAN A — TITIK IMPAS PER SKU (berformula)</x:t>
  </x:si>
  <x:si>
    <x:t xml:space="preserve">Ukuran</x:t>
  </x:si>
  <x:si>
    <x:t xml:space="preserve">r impas (kg whole per kg FG)</x:t>
  </x:si>
  <x:si>
    <x:t xml:space="preserve">Rumus: (pendapatan - by-product - energi) dibagi (harga bahan + konversi - by-product)</x:t>
  </x:si>
  <x:si>
    <x:t xml:space="preserve">r sekarang</x:t>
  </x:si>
  <x:si>
    <x:t xml:space="preserve">Yield impas dibutuhkan</x:t>
  </x:si>
  <x:si>
    <x:t xml:space="preserve">Yield sekarang (rho kalibrasi)</x:t>
  </x:si>
  <x:si>
    <x:t xml:space="preserve">Harga impas (USD/lbs)</x:t>
  </x:si>
  <x:si>
    <x:t xml:space="preserve">Harga jual minimum agar margin nol</x:t>
  </x:si>
  <x:si>
    <x:t xml:space="preserve">Harga sekarang (USD/lbs)</x:t>
  </x:si>
  <x:si>
    <x:t xml:space="preserve">Selisih harga</x:t>
  </x:si>
  <x:si>
    <x:t xml:space="preserve">Baca: SKU dengan yield sekarang di bawah yield impas hanya layak bila harga dinaikkan ke harga impas atau yield diperbaiki. Ini mengubah rekomendasi dari matikan SKU menjadi perbaiki apa dan sebanyak apa.</x:t>
  </x:si>
  <x:si>
    <x:t xml:space="preserve">BAGIAN B — UJI PARAMETER (ubah A1_Kendali, jalankan Solver, catat di sini)</x:t>
  </x:si>
  <x:si>
    <x:t xml:space="preserve">Parameter yang diuji</x:t>
  </x:si>
  <x:si>
    <x:t xml:space="preserve">Sel yang diubah</x:t>
  </x:si>
  <x:si>
    <x:t xml:space="preserve">Skenario rendah</x:t>
  </x:si>
  <x:si>
    <x:t xml:space="preserve">Basis</x:t>
  </x:si>
  <x:si>
    <x:t xml:space="preserve">Skenario tinggi</x:t>
  </x:si>
  <x:si>
    <x:t xml:space="preserve">Z rendah</x:t>
  </x:si>
  <x:si>
    <x:t xml:space="preserve">Z basis</x:t>
  </x:si>
  <x:si>
    <x:t xml:space="preserve">Z tinggi</x:t>
  </x:si>
  <x:si>
    <x:t xml:space="preserve">A1_Kendali!B4</x:t>
  </x:si>
  <x:si>
    <x:t xml:space="preserve">0 persen</x:t>
  </x:si>
  <x:si>
    <x:t xml:space="preserve">70 persen</x:t>
  </x:si>
  <x:si>
    <x:t xml:space="preserve">85 persen</x:t>
  </x:si>
  <x:si>
    <x:t xml:space="preserve">Sudah terisi di A5_Frontier</x:t>
  </x:si>
  <x:si>
    <x:t xml:space="preserve">A1_Kendali!B9</x:t>
  </x:si>
  <x:si>
    <x:t xml:space="preserve">-10 persen</x:t>
  </x:si>
  <x:si>
    <x:t xml:space="preserve">Rp 1.114,74</x:t>
  </x:si>
  <x:si>
    <x:t xml:space="preserve">+15 persen</x:t>
  </x:si>
  <x:si>
    <x:t xml:space="preserve">Energi bukan pengungkit margin</x:t>
  </x:si>
  <x:si>
    <x:t xml:space="preserve">Harga bahan baku</x:t>
  </x:si>
  <x:si>
    <x:t xml:space="preserve">Cost!F27</x:t>
  </x:si>
  <x:si>
    <x:t xml:space="preserve">dari Cost</x:t>
  </x:si>
  <x:si>
    <x:t xml:space="preserve">+10 persen</x:t>
  </x:si>
  <x:si>
    <x:t xml:space="preserve">Pengungkit terbesar kedua</x:t>
  </x:si>
  <x:si>
    <x:t xml:space="preserve">Nilai by-product</x:t>
  </x:si>
  <x:si>
    <x:t xml:space="preserve">Cost!O64</x:t>
  </x:si>
  <x:si>
    <x:t xml:space="preserve">-25 persen</x:t>
  </x:si>
  <x:si>
    <x:t xml:space="preserve">+25 persen</x:t>
  </x:si>
  <x:si>
    <x:t xml:space="preserve">Menentukan apakah SKU selain Saku layak sama sekali</x:t>
  </x:si>
  <x:si>
    <x:t xml:space="preserve">rho benchmark</x:t>
  </x:si>
  <x:si>
    <x:t xml:space="preserve">A2_Derivasi!C19:J19</x:t>
  </x:si>
  <x:si>
    <x:t xml:space="preserve">benchmark KKP</x:t>
  </x:si>
  <x:si>
    <x:t xml:space="preserve">Uji ketahanan asumsi yield</x:t>
  </x:si>
  <x:si>
    <x:t xml:space="preserve">Pasokan</x:t>
  </x:si>
  <x:si>
    <x:t xml:space="preserve">A2_Derivasi!C63:C66</x:t>
  </x:si>
  <x:si>
    <x:t xml:space="preserve">-20 persen</x:t>
  </x:si>
  <x:si>
    <x:t xml:space="preserve">ledger</x:t>
  </x:si>
  <x:si>
    <x:t xml:space="preserve">+20 persen</x:t>
  </x:si>
  <x:si>
    <x:t xml:space="preserve">Pengikat utama saat ini</x:t>
  </x:si>
  <x:si>
    <x:t xml:space="preserve">A1_Kendali!B7</x:t>
  </x:si>
  <x:si>
    <x:t xml:space="preserve">17.000</x:t>
  </x:si>
  <x:si>
    <x:t xml:space="preserve">19.000</x:t>
  </x:si>
  <x:si>
    <x:t xml:space="preserve">21.000</x:t>
  </x:si>
  <x:si>
    <x:t xml:space="preserve">Cek apakah kontainer mengikat</x:t>
  </x:si>
  <x:si>
    <x:t xml:space="preserve">A7 — PANDUAN SOLVER DAN MODEL MATEMATIS</x:t>
  </x:si>
  <x:si>
    <x:t xml:space="preserve">Pengaturan</x:t>
  </x:si>
  <x:si>
    <x:t xml:space="preserve">Isi</x:t>
  </x:si>
  <x:si>
    <x:t xml:space="preserve">Set Objective</x:t>
  </x:si>
  <x:si>
    <x:t xml:space="preserve">$B$27 pada sheet A4_LP_Model</x:t>
  </x:si>
  <x:si>
    <x:t xml:space="preserve">Maksimumkan</x:t>
  </x:si>
  <x:si>
    <x:t xml:space="preserve">By Changing Cells</x:t>
  </x:si>
  <x:si>
    <x:t xml:space="preserve">$B$4:$I$7</x:t>
  </x:si>
  <x:si>
    <x:t xml:space="preserve">32 variabel: 4 size-grade x 8 SKU, satuan kg loin</x:t>
  </x:si>
  <x:si>
    <x:t xml:space="preserve">Pembatas 1</x:t>
  </x:si>
  <x:si>
    <x:t xml:space="preserve">$J$4:$J$7 &lt;= $K$4:$K$7</x:t>
  </x:si>
  <x:si>
    <x:t xml:space="preserve">Ketersediaan loin tiap size-grade</x:t>
  </x:si>
  <x:si>
    <x:t xml:space="preserve">Pembatas 2</x:t>
  </x:si>
  <x:si>
    <x:t xml:space="preserve">$B$12:$I$12 &lt;= $B$13:$I$13</x:t>
  </x:si>
  <x:si>
    <x:t xml:space="preserve">Plafon PO tiap SKU</x:t>
  </x:si>
  <x:si>
    <x:t xml:space="preserve">Pembatas 3</x:t>
  </x:si>
  <x:si>
    <x:t xml:space="preserve">$B$12:$I$12 &gt;= $B$14:$I$14</x:t>
  </x:si>
  <x:si>
    <x:t xml:space="preserve">Lantai service level alfa x PO</x:t>
  </x:si>
  <x:si>
    <x:t xml:space="preserve">Pembatas 4</x:t>
  </x:si>
  <x:si>
    <x:t xml:space="preserve">$B$21 &lt;= $D$21</x:t>
  </x:si>
  <x:si>
    <x:t xml:space="preserve">Kapasitas kontainer 19 ton FG</x:t>
  </x:si>
  <x:si>
    <x:t xml:space="preserve">Pembatas 5</x:t>
  </x:si>
  <x:si>
    <x:t xml:space="preserve">$B$22 &lt;= $D$22</x:t>
  </x:si>
  <x:si>
    <x:t xml:space="preserve">Plafon shipment bulanan 60 ton diprorata</x:t>
  </x:si>
  <x:si>
    <x:t xml:space="preserve">Pembatas 6</x:t>
  </x:si>
  <x:si>
    <x:t xml:space="preserve">$B$23 &lt;= $D$23</x:t>
  </x:si>
  <x:si>
    <x:t xml:space="preserve">Kapasitas olah 4.500 kg per hari x horizon</x:t>
  </x:si>
  <x:si>
    <x:t xml:space="preserve">Pembatas 7</x:t>
  </x:si>
  <x:si>
    <x:t xml:space="preserve">$B$24 &lt;= $D$24</x:t>
  </x:si>
  <x:si>
    <x:t xml:space="preserve">Pembatas 8</x:t>
  </x:si>
  <x:si>
    <x:t xml:space="preserve">Sel dengan kelayakan 0 (baris 33-36) dikunci = 0</x:t>
  </x:si>
  <x:si>
    <x:t xml:space="preserve">Saku hanya dari 30 UP</x:t>
  </x:si>
  <x:si>
    <x:t xml:space="preserve">Pembatas 9</x:t>
  </x:si>
  <x:si>
    <x:t xml:space="preserve">$B$4:$I$7 &gt;= 0</x:t>
  </x:si>
  <x:si>
    <x:t xml:space="preserve">Non-negatif</x:t>
  </x:si>
  <x:si>
    <x:t xml:space="preserve">Solving Method</x:t>
  </x:si>
  <x:si>
    <x:t xml:space="preserve">Simplex LP</x:t>
  </x:si>
  <x:si>
    <x:t xml:space="preserve">Seluruh fungsi tujuan dan pembatas linear</x:t>
  </x:si>
  <x:si>
    <x:t xml:space="preserve">MODEL MATEMATIS</x:t>
  </x:si>
  <x:si>
    <x:t xml:space="preserve">Himpunan</x:t>
  </x:si>
  <x:si>
    <x:t xml:space="preserve">i = kelompok size-grade {30UP-B, 30UP-C, 20UP-C, 14UP-C}; j = SKU {Saku, Steak 4/6/8/10, Poke, Medallion, Ground Meat}</x:t>
  </x:si>
  <x:si>
    <x:t xml:space="preserve">Variabel keputusan</x:t>
  </x:si>
  <x:si>
    <x:t xml:space="preserve">x(i,j) &gt;= 0 = kg loin dari kelompok i dialokasikan ke SKU j</x:t>
  </x:si>
  <x:si>
    <x:t xml:space="preserve">Variabel turunan</x:t>
  </x:si>
  <x:si>
    <x:t xml:space="preserve">FG(j) = rho(j) x SUM_i x(i,j)   dan   Whole(i) = SUM_j x(i,j) / y</x:t>
  </x:si>
  <x:si>
    <x:t xml:space="preserve">Parameter yield</x:t>
  </x:si>
  <x:si>
    <x:t xml:space="preserve">y = yield whole ke loin, terukur 66 batch sheet Processing (A2 langkah 1). rho(j) = benchmark KKP dikalibrasi faktor k (A2 langkah 5 dan 6).</x:t>
  </x:si>
  <x:si>
    <x:t xml:space="preserve">Koefisien tujuan</x:t>
  </x:si>
  <x:si>
    <x:t xml:space="preserve">m(j) = Harga(j) - r(j) x (Harga bahan + Biaya konversi) + (r(j)-1) x Nilai by-product - Biaya energi(j)   [A2 langkah 10]</x:t>
  </x:si>
  <x:si>
    <x:t xml:space="preserve">FUNGSI TUJUAN</x:t>
  </x:si>
  <x:si>
    <x:t xml:space="preserve">Maksimumkan Z = SUM_j m(j) x rho(j) x SUM_i x(i,j)</x:t>
  </x:si>
  <x:si>
    <x:t xml:space="preserve">Kendala 1 pasokan</x:t>
  </x:si>
  <x:si>
    <x:t xml:space="preserve">SUM_j x(i,j) &lt;= S(i) x y   untuk setiap i</x:t>
  </x:si>
  <x:si>
    <x:t xml:space="preserve">Kendala 2 plafon PO</x:t>
  </x:si>
  <x:si>
    <x:t xml:space="preserve">rho(j) x SUM_i x(i,j) &lt;= D(j)   untuk setiap j</x:t>
  </x:si>
  <x:si>
    <x:t xml:space="preserve">Kendala 3 service level</x:t>
  </x:si>
  <x:si>
    <x:t xml:space="preserve">rho(j) x SUM_i x(i,j) &gt;= alfa x D(j)   untuk setiap j</x:t>
  </x:si>
  <x:si>
    <x:t xml:space="preserve">Kendala 4 kontainer</x:t>
  </x:si>
  <x:si>
    <x:t xml:space="preserve">SUM_j FG(j) &lt;= 19.000 kg FG</x:t>
  </x:si>
  <x:si>
    <x:t xml:space="preserve">Kendala 5 shipment bulanan</x:t>
  </x:si>
  <x:si>
    <x:t xml:space="preserve">SUM_j FG(j) &lt;= 60.000 x (Horizon / 26)</x:t>
  </x:si>
  <x:si>
    <x:t xml:space="preserve">Kendala 6 kapasitas olah</x:t>
  </x:si>
  <x:si>
    <x:t xml:space="preserve">SUM_i SUM_j x(i,j) / y &lt;= 4.500 x Horizon</x:t>
  </x:si>
  <x:si>
    <x:t xml:space="preserve">Kendala 7 energi</x:t>
  </x:si>
  <x:si>
    <x:t xml:space="preserve">SUM_j e(j) x FG(j) &lt;= Pagu energi</x:t>
  </x:si>
  <x:si>
    <x:t xml:space="preserve">Kendala 8 kelayakan</x:t>
  </x:si>
  <x:si>
    <x:t xml:space="preserve">x(i,j) &lt;= M x f(i,j), dengan f = 0 bila rute tidak layak</x:t>
  </x:si>
  <x:si>
    <x:t xml:space="preserve">Kendala 9</x:t>
  </x:si>
  <x:si>
    <x:t xml:space="preserve">x(i,j) &gt;= 0</x:t>
  </x:si>
  <x:si>
    <x:t xml:space="preserve">alfa maksimum</x:t>
  </x:si>
  <x:si>
    <x:t xml:space="preserve">alfa* = Pasokan / SUM_j (D(j) / (y x rho(j))) — bentuk tertutup, lihat A2 langkah 9</x:t>
  </x:si>
</x:sst>
</file>

<file path=xl/styles.xml><?xml version="1.0" encoding="utf-8"?>
<x:styleSheet xmlns:x="http://schemas.openxmlformats.org/spreadsheetml/2006/main">
  <x:numFmts count="13">
    <x:numFmt numFmtId="164" formatCode="General"/>
    <x:numFmt numFmtId="165" formatCode="yyyy\-mm\-dd\ h:mm:ss"/>
    <x:numFmt numFmtId="166" formatCode="0.0000"/>
    <x:numFmt numFmtId="167" formatCode="#,##0;\(#,##0\);\-"/>
    <x:numFmt numFmtId="168" formatCode="#,##0.00"/>
    <x:numFmt numFmtId="169" formatCode="0.00%"/>
    <x:numFmt numFmtId="170" formatCode="0.00000"/>
    <x:numFmt numFmtId="171" formatCode="#,##0.0"/>
    <x:numFmt numFmtId="172" formatCode="0.00"/>
    <x:numFmt numFmtId="173" formatCode="0"/>
    <x:numFmt numFmtId="200" formatCode="0.0%"/>
    <x:numFmt numFmtId="201" formatCode="#,##0.00;[Red](#,##0.00);-"/>
    <x:numFmt numFmtId="202" formatCode="0%"/>
  </x:numFmts>
  <x:fonts count="19">
    <x:font>
      <x:sz val="11"/>
      <x:color theme="1"/>
      <x:name val="Calibri"/>
    </x:font>
    <x:font>
      <x:sz val="10"/>
      <x:name val="Arial"/>
    </x:font>
    <x:font>
      <x:sz val="10"/>
      <x:name val="Arial"/>
    </x:font>
    <x:font>
      <x:sz val="10"/>
      <x:name val="Arial"/>
    </x:font>
    <x:font>
      <x:b/>
      <x:sz val="13"/>
      <x:color rgb="FFFFFFFF"/>
      <x:name val="Arial"/>
    </x:font>
    <x:font>
      <x:b/>
      <x:sz val="10"/>
      <x:color rgb="FFFFFFFF"/>
      <x:name val="Arial"/>
    </x:font>
    <x:font>
      <x:b/>
      <x:sz val="10"/>
      <x:name val="Arial"/>
    </x:font>
    <x:font>
      <x:sz val="10"/>
      <x:name val="Arial"/>
    </x:font>
    <x:font>
      <x:sz val="10"/>
      <x:color rgb="FF0000FF"/>
      <x:name val="Arial"/>
    </x:font>
    <x:font>
      <x:b/>
      <x:sz val="11"/>
      <x:color rgb="FFFFFFFF"/>
      <x:name val="Arial"/>
    </x:font>
    <x:font>
      <x:sz val="9"/>
      <x:color rgb="FF555555"/>
      <x:name val="Consolas"/>
    </x:font>
    <x:font>
      <x:sz val="10"/>
      <x:color rgb="FF008000"/>
      <x:name val="Arial"/>
    </x:font>
    <x:font>
      <x:b/>
      <x:sz val="14"/>
      <x:color rgb="FFFFFFFF"/>
      <x:name val="Calibri"/>
    </x:font>
    <x:font>
      <x:b/>
      <x:sz val="11"/>
      <x:color rgb="FFFFFFFF"/>
      <x:name val="Calibri"/>
    </x:font>
    <x:font>
      <x:b/>
      <x:sz val="11"/>
      <x:color theme="1"/>
      <x:name val="Calibri"/>
    </x:font>
    <x:font>
      <x:sz val="11"/>
      <x:color rgb="FF008000"/>
      <x:name val="Calibri"/>
    </x:font>
    <x:font>
      <x:sz val="11"/>
      <x:color rgb="FF000000"/>
      <x:name val="Calibri"/>
    </x:font>
    <x:font>
      <x:sz val="11"/>
      <x:color rgb="FF0000FF"/>
      <x:name val="Calibri"/>
    </x:font>
    <x:font>
      <x:b/>
      <x:sz val="11"/>
      <x:color rgb="FF008000"/>
      <x:name val="Calibri"/>
    </x:font>
  </x:fonts>
  <x:fills count="14">
    <x:fill>
      <x:patternFill patternType="none"/>
    </x:fill>
    <x:fill>
      <x:patternFill patternType="gray125"/>
    </x:fill>
    <x:fill>
      <x:patternFill patternType="solid">
        <x:fgColor rgb="FF1F3864"/>
      </x:patternFill>
    </x:fill>
    <x:fill>
      <x:patternFill patternType="solid">
        <x:fgColor rgb="FF2E5FA3"/>
      </x:patternFill>
    </x:fill>
    <x:fill>
      <x:patternFill patternType="solid">
        <x:fgColor rgb="FFFFF2CC"/>
      </x:patternFill>
    </x:fill>
    <x:fill>
      <x:patternFill patternType="solid">
        <x:fgColor rgb="FFE2EFDA"/>
      </x:patternFill>
    </x:fill>
    <x:fill>
      <x:patternFill patternType="solid">
        <x:fgColor rgb="FF4472C4"/>
      </x:patternFill>
    </x:fill>
    <x:fill>
      <x:patternFill patternType="solid">
        <x:fgColor rgb="FFFCE4E4"/>
      </x:patternFill>
    </x:fill>
    <x:fill>
      <x:patternFill patternType="solid">
        <x:fgColor rgb="FF1F4E78"/>
      </x:patternFill>
    </x:fill>
    <x:fill>
      <x:patternFill patternType="solid">
        <x:fgColor rgb="FFC55A11"/>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EAF3F8"/>
      </x:patternFill>
    </x:fill>
  </x:fills>
  <x:borders count="4">
    <x:border diagonalUp="0" diagonalDown="0"/>
    <x:border diagonalUp="0" diagonalDown="0">
      <x:left style="thin">
        <x:color rgb="FFBFBFBF"/>
      </x:left>
      <x:right style="thin">
        <x:color rgb="FFBFBFBF"/>
      </x:right>
      <x:top style="thin">
        <x:color rgb="FFBFBFBF"/>
      </x:top>
      <x:bottom style="thin">
        <x:color rgb="FFBFBFBF"/>
      </x:bottom>
    </x:border>
    <x:border diagonalUp="0" diagonalDown="0"/>
    <x:border diagonalUp="0" diagonalDown="0">
      <x:left style="thin">
        <x:color rgb="FFBFBFBF"/>
      </x:left>
      <x:right style="thin">
        <x:color rgb="FFBFBFBF"/>
      </x:right>
      <x:top style="thin">
        <x:color rgb="FFBFBFBF"/>
      </x:top>
      <x:bottom style="thin">
        <x:color rgb="FFBFBFBF"/>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16">
    <x:xf numFmtId="164" fontId="0" fillId="0" borderId="0" xfId="0" applyFont="0" applyBorder="0" applyAlignment="0">
      <x:alignment horizontal="general" vertical="bottom" wrapText="0"/>
    </x:xf>
    <x:xf numFmtId="164" fontId="4" fillId="2" borderId="0" xfId="0" applyFont="1" applyBorder="1" applyAlignment="0">
      <x:alignment horizontal="general" vertical="bottom" wrapText="0"/>
    </x:xf>
    <x:xf numFmtId="164" fontId="5" fillId="3" borderId="1" xfId="0" applyFont="1" applyBorder="1" applyAlignment="1">
      <x:alignment horizontal="center" vertical="center" wrapText="1"/>
    </x:xf>
    <x:xf numFmtId="164" fontId="6" fillId="4" borderId="1" xfId="0" applyFont="1" applyBorder="1" applyAlignment="1">
      <x:alignment horizontal="general" vertical="top" wrapText="1"/>
    </x:xf>
    <x:xf numFmtId="164" fontId="7" fillId="0" borderId="1" xfId="0" applyFont="1" applyBorder="1" applyAlignment="1">
      <x:alignment horizontal="general" vertical="top" wrapText="1"/>
    </x:xf>
    <x:xf numFmtId="164" fontId="6" fillId="5" borderId="1" xfId="0" applyFont="1" applyBorder="1" applyAlignment="0">
      <x:alignment horizontal="general" vertical="bottom" wrapText="0"/>
    </x:xf>
    <x:xf numFmtId="164" fontId="6" fillId="0" borderId="1" xfId="0" applyFont="1" applyBorder="1" applyAlignment="0">
      <x:alignment horizontal="general" vertical="bottom" wrapText="0"/>
    </x:xf>
    <x:xf numFmtId="164" fontId="7" fillId="0" borderId="0" xfId="0" applyFont="1" applyBorder="0" applyAlignment="0">
      <x:alignment horizontal="general" vertical="bottom" wrapText="0"/>
    </x:xf>
    <x:xf numFmtId="165" fontId="7" fillId="0" borderId="0" xfId="0" applyFont="1" applyBorder="0" applyAlignment="0">
      <x:alignment horizontal="general" vertical="bottom" wrapText="0"/>
    </x:xf>
    <x:xf numFmtId="164" fontId="7" fillId="0" borderId="0" xfId="0" applyFont="1" applyBorder="0" applyAlignment="1">
      <x:alignment horizontal="general" vertical="bottom" wrapText="1"/>
    </x:xf>
    <x:xf numFmtId="166" fontId="8" fillId="4" borderId="1" xfId="0" applyFont="1" applyBorder="1" applyAlignment="0">
      <x:alignment horizontal="general" vertical="bottom" wrapText="0"/>
    </x:xf>
    <x:xf numFmtId="164" fontId="7" fillId="0" borderId="1" xfId="0" applyFont="1" applyBorder="1" applyAlignment="0">
      <x:alignment horizontal="general" vertical="bottom" wrapText="0"/>
    </x:xf>
    <x:xf numFmtId="167" fontId="8" fillId="4" borderId="1" xfId="0" applyFont="1" applyBorder="1" applyAlignment="0">
      <x:alignment horizontal="general" vertical="bottom" wrapText="0"/>
    </x:xf>
    <x:xf numFmtId="166" fontId="7" fillId="0" borderId="1" xfId="0" applyFont="1" applyBorder="1" applyAlignment="0">
      <x:alignment horizontal="general" vertical="bottom" wrapText="0"/>
    </x:xf>
    <x:xf numFmtId="164" fontId="9" fillId="6" borderId="0" xfId="0" applyFont="1" applyBorder="1" applyAlignment="0">
      <x:alignment horizontal="general" vertical="bottom" wrapText="0"/>
    </x:xf>
    <x:xf numFmtId="167" fontId="7" fillId="0" borderId="1" xfId="0" applyFont="1" applyBorder="1" applyAlignment="0">
      <x:alignment horizontal="general" vertical="bottom" wrapText="0"/>
    </x:xf>
    <x:xf numFmtId="168" fontId="7" fillId="0" borderId="1" xfId="0" applyFont="1" applyBorder="1" applyAlignment="0">
      <x:alignment horizontal="general" vertical="bottom" wrapText="0"/>
    </x:xf>
    <x:xf numFmtId="169" fontId="6" fillId="5" borderId="1" xfId="0" applyFont="1" applyBorder="1" applyAlignment="0">
      <x:alignment horizontal="general" vertical="bottom" wrapText="0"/>
    </x:xf>
    <x:xf numFmtId="164" fontId="10" fillId="0" borderId="1" xfId="0" applyFont="1" applyBorder="1" applyAlignment="0">
      <x:alignment horizontal="general" vertical="bottom" wrapText="0"/>
    </x:xf>
    <x:xf numFmtId="168" fontId="11" fillId="0" borderId="1" xfId="0" applyFont="1" applyBorder="1" applyAlignment="0">
      <x:alignment horizontal="general" vertical="bottom" wrapText="0"/>
    </x:xf>
    <x:xf numFmtId="167" fontId="6" fillId="0" borderId="1" xfId="0" applyFont="1" applyBorder="1" applyAlignment="0">
      <x:alignment horizontal="general" vertical="bottom" wrapText="0"/>
    </x:xf>
    <x:xf numFmtId="167" fontId="6" fillId="5" borderId="1" xfId="0" applyFont="1" applyBorder="1" applyAlignment="0">
      <x:alignment horizontal="general" vertical="bottom" wrapText="0"/>
    </x:xf>
    <x:xf numFmtId="169" fontId="7" fillId="0" borderId="1" xfId="0" applyFont="1" applyBorder="1" applyAlignment="0">
      <x:alignment horizontal="general" vertical="bottom" wrapText="0"/>
    </x:xf>
    <x:xf numFmtId="168" fontId="6" fillId="5" borderId="1" xfId="0" applyFont="1" applyBorder="1" applyAlignment="0">
      <x:alignment horizontal="general" vertical="bottom" wrapText="0"/>
    </x:xf>
    <x:xf numFmtId="168" fontId="6" fillId="0" borderId="1" xfId="0" applyFont="1" applyBorder="1" applyAlignment="0">
      <x:alignment horizontal="general" vertical="bottom" wrapText="0"/>
    </x:xf>
    <x:xf numFmtId="170" fontId="6" fillId="5" borderId="1" xfId="0" applyFont="1" applyBorder="1" applyAlignment="0">
      <x:alignment horizontal="general" vertical="bottom" wrapText="0"/>
    </x:xf>
    <x:xf numFmtId="166" fontId="6" fillId="5" borderId="1" xfId="0" applyFont="1" applyBorder="1" applyAlignment="0">
      <x:alignment horizontal="general" vertical="bottom" wrapText="0"/>
    </x:xf>
    <x:xf numFmtId="171" fontId="7" fillId="0" borderId="1" xfId="0" applyFont="1" applyBorder="1" applyAlignment="0">
      <x:alignment horizontal="general" vertical="bottom" wrapText="0"/>
    </x:xf>
    <x:xf numFmtId="172" fontId="11" fillId="0" borderId="1" xfId="0" applyFont="1" applyBorder="1" applyAlignment="0">
      <x:alignment horizontal="general" vertical="bottom" wrapText="0"/>
    </x:xf>
    <x:xf numFmtId="167" fontId="11" fillId="0" borderId="1" xfId="0" applyFont="1" applyBorder="1" applyAlignment="0">
      <x:alignment horizontal="general" vertical="bottom" wrapText="0"/>
    </x:xf>
    <x:xf numFmtId="169" fontId="6" fillId="0" borderId="1" xfId="0" applyFont="1" applyBorder="1" applyAlignment="0">
      <x:alignment horizontal="general" vertical="bottom" wrapText="0"/>
    </x:xf>
    <x:xf numFmtId="164" fontId="6" fillId="7" borderId="1" xfId="0" applyFont="1" applyBorder="1" applyAlignment="0">
      <x:alignment horizontal="general" vertical="bottom" wrapText="0"/>
    </x:xf>
    <x:xf numFmtId="166" fontId="11" fillId="0" borderId="1" xfId="0" applyFont="1" applyBorder="1" applyAlignment="0">
      <x:alignment horizontal="general" vertical="bottom" wrapText="0"/>
    </x:xf>
    <x:xf numFmtId="171" fontId="6" fillId="0" borderId="1" xfId="0" applyFont="1" applyBorder="1" applyAlignment="0">
      <x:alignment horizontal="general" vertical="bottom" wrapText="0"/>
    </x:xf>
    <x:xf numFmtId="172" fontId="8" fillId="4" borderId="1" xfId="0" applyFont="1" applyBorder="1" applyAlignment="0">
      <x:alignment horizontal="general" vertical="bottom" wrapText="0"/>
    </x:xf>
    <x:xf numFmtId="172" fontId="7" fillId="0" borderId="1" xfId="0" applyFont="1" applyBorder="1" applyAlignment="0">
      <x:alignment horizontal="general" vertical="bottom" wrapText="0"/>
    </x:xf>
    <x:xf numFmtId="164" fontId="10" fillId="0" borderId="1" xfId="0" applyFont="1" applyBorder="1" applyAlignment="1">
      <x:alignment horizontal="general" vertical="top" wrapText="1"/>
    </x:xf>
    <x:xf numFmtId="164" fontId="6" fillId="0" borderId="1" xfId="0" applyFont="1" applyBorder="1" applyAlignment="1">
      <x:alignment horizontal="general" vertical="top" wrapText="1"/>
    </x:xf>
    <x:xf numFmtId="171" fontId="6" fillId="5" borderId="1" xfId="0" applyFont="1" applyBorder="1" applyAlignment="0">
      <x:alignment horizontal="general" vertical="bottom" wrapText="0"/>
    </x:xf>
    <x:xf numFmtId="166" fontId="6" fillId="0" borderId="1" xfId="0" applyFont="1" applyBorder="1" applyAlignment="0">
      <x:alignment horizontal="general" vertical="bottom" wrapText="0"/>
    </x:xf>
    <x:xf numFmtId="173" fontId="7" fillId="5" borderId="1" xfId="0" applyFont="1" applyBorder="1" applyAlignment="0">
      <x:alignment horizontal="general" vertical="bottom" wrapText="0"/>
    </x:xf>
    <x:xf numFmtId="173" fontId="7" fillId="7" borderId="1" xfId="0" applyFont="1" applyBorder="1" applyAlignment="0">
      <x:alignment horizontal="general" vertical="bottom" wrapText="0"/>
    </x:xf>
    <x:xf numFmtId="169" fontId="8" fillId="4" borderId="1" xfId="0" applyFont="1" applyBorder="1" applyAlignment="0">
      <x:alignment horizontal="general" vertical="bottom" wrapText="0"/>
    </x:xf>
    <x:xf numFmtId="164" fontId="6" fillId="7" borderId="1" xfId="0" applyFont="1" applyBorder="1" applyAlignment="1">
      <x:alignment horizontal="general" vertical="top" wrapText="1"/>
    </x:xf>
    <x:xf numFmtId="169" fontId="11" fillId="0" borderId="1" xfId="0" applyFont="1" applyBorder="1" applyAlignment="0">
      <x:alignment horizontal="general" vertical="bottom" wrapText="0"/>
    </x:xf>
    <x:xf numFmtId="167" fontId="7" fillId="4" borderId="1" xfId="0" applyFont="1" applyBorder="1" applyAlignment="0">
      <x:alignment horizontal="general" vertical="bottom" wrapText="0"/>
    </x:xf>
    <x:xf numFmtId="164" fontId="0" fillId="0" borderId="2" xfId="0" applyNumberFormat="1" applyFont="1" applyFill="1" applyBorder="1" applyAlignment="1">
      <x:alignment horizontal="general" vertical="bottom" wrapText="0"/>
    </x:xf>
    <x:xf numFmtId="164" fontId="4" fillId="2" borderId="2" xfId="0" applyNumberFormat="1" applyFont="1" applyFill="1" applyBorder="1" applyAlignment="1">
      <x:alignment horizontal="general" vertical="bottom" wrapText="0"/>
    </x:xf>
    <x:xf numFmtId="164" fontId="5" fillId="3" borderId="3" xfId="0" applyNumberFormat="1" applyFont="1" applyFill="1" applyBorder="1" applyAlignment="1">
      <x:alignment horizontal="center" vertical="center" wrapText="1"/>
    </x:xf>
    <x:xf numFmtId="164" fontId="6" fillId="4" borderId="3" xfId="0" applyNumberFormat="1" applyFont="1" applyFill="1" applyBorder="1" applyAlignment="1">
      <x:alignment horizontal="general" vertical="top" wrapText="1"/>
    </x:xf>
    <x:xf numFmtId="164" fontId="1" fillId="0" borderId="3" xfId="0" applyNumberFormat="1" applyFont="1" applyFill="1" applyBorder="1" applyAlignment="1">
      <x:alignment horizontal="general" vertical="top" wrapText="1"/>
    </x:xf>
    <x:xf numFmtId="164" fontId="6" fillId="5" borderId="3" xfId="0" applyNumberFormat="1" applyFont="1" applyFill="1" applyBorder="1" applyAlignment="1">
      <x:alignment horizontal="general" vertical="bottom" wrapText="0"/>
    </x:xf>
    <x:xf numFmtId="164" fontId="6" fillId="0" borderId="3" xfId="0" applyNumberFormat="1" applyFont="1" applyFill="1" applyBorder="1" applyAlignment="1">
      <x:alignment horizontal="general" vertical="bottom" wrapText="0"/>
    </x:xf>
    <x:xf numFmtId="164" fontId="1" fillId="0" borderId="2" xfId="0" applyNumberFormat="1" applyFont="1" applyFill="1" applyBorder="1" applyAlignment="1">
      <x:alignment horizontal="general" vertical="bottom" wrapText="0"/>
    </x:xf>
    <x:xf numFmtId="165" fontId="1" fillId="0" borderId="2" xfId="0" applyNumberFormat="1" applyFont="1" applyFill="1" applyBorder="1" applyAlignment="1">
      <x:alignment horizontal="general" vertical="bottom" wrapText="0"/>
    </x:xf>
    <x:xf numFmtId="164" fontId="1" fillId="0" borderId="2" xfId="0" applyNumberFormat="1" applyFont="1" applyFill="1" applyBorder="1" applyAlignment="1">
      <x:alignment horizontal="general" vertical="bottom" wrapText="1"/>
    </x:xf>
    <x:xf numFmtId="166" fontId="8" fillId="4" borderId="3" xfId="0" applyNumberFormat="1" applyFont="1" applyFill="1" applyBorder="1" applyAlignment="1">
      <x:alignment horizontal="general" vertical="bottom" wrapText="0"/>
    </x:xf>
    <x:xf numFmtId="164" fontId="1" fillId="0" borderId="3" xfId="0" applyNumberFormat="1" applyFont="1" applyFill="1" applyBorder="1" applyAlignment="1">
      <x:alignment horizontal="general" vertical="bottom" wrapText="0"/>
    </x:xf>
    <x:xf numFmtId="167" fontId="8" fillId="4" borderId="3" xfId="0" applyNumberFormat="1" applyFont="1" applyFill="1" applyBorder="1" applyAlignment="1">
      <x:alignment horizontal="general" vertical="bottom" wrapText="0"/>
    </x:xf>
    <x:xf numFmtId="166" fontId="1" fillId="0" borderId="3" xfId="0" applyNumberFormat="1" applyFont="1" applyFill="1" applyBorder="1" applyAlignment="1">
      <x:alignment horizontal="general" vertical="bottom" wrapText="0"/>
    </x:xf>
    <x:xf numFmtId="164" fontId="9" fillId="6" borderId="2" xfId="0" applyNumberFormat="1" applyFont="1" applyFill="1" applyBorder="1" applyAlignment="1">
      <x:alignment horizontal="general" vertical="bottom" wrapText="0"/>
    </x:xf>
    <x:xf numFmtId="167" fontId="1" fillId="0" borderId="3" xfId="0" applyNumberFormat="1" applyFont="1" applyFill="1" applyBorder="1" applyAlignment="1">
      <x:alignment horizontal="general" vertical="bottom" wrapText="0"/>
    </x:xf>
    <x:xf numFmtId="168" fontId="1" fillId="0" borderId="3" xfId="0" applyNumberFormat="1" applyFont="1" applyFill="1" applyBorder="1" applyAlignment="1">
      <x:alignment horizontal="general" vertical="bottom" wrapText="0"/>
    </x:xf>
    <x:xf numFmtId="169" fontId="6" fillId="5" borderId="3" xfId="0" applyNumberFormat="1" applyFont="1" applyFill="1" applyBorder="1" applyAlignment="1">
      <x:alignment horizontal="general" vertical="bottom" wrapText="0"/>
    </x:xf>
    <x:xf numFmtId="164" fontId="10" fillId="0" borderId="3" xfId="0" applyNumberFormat="1" applyFont="1" applyFill="1" applyBorder="1" applyAlignment="1">
      <x:alignment horizontal="general" vertical="bottom" wrapText="0"/>
    </x:xf>
    <x:xf numFmtId="168" fontId="11" fillId="0" borderId="3" xfId="0" applyNumberFormat="1" applyFont="1" applyFill="1" applyBorder="1" applyAlignment="1">
      <x:alignment horizontal="general" vertical="bottom" wrapText="0"/>
    </x:xf>
    <x:xf numFmtId="167" fontId="6" fillId="0" borderId="3" xfId="0" applyNumberFormat="1" applyFont="1" applyFill="1" applyBorder="1" applyAlignment="1">
      <x:alignment horizontal="general" vertical="bottom" wrapText="0"/>
    </x:xf>
    <x:xf numFmtId="167" fontId="6" fillId="5" borderId="3" xfId="0" applyNumberFormat="1" applyFont="1" applyFill="1" applyBorder="1" applyAlignment="1">
      <x:alignment horizontal="general" vertical="bottom" wrapText="0"/>
    </x:xf>
    <x:xf numFmtId="169" fontId="1" fillId="0" borderId="3" xfId="0" applyNumberFormat="1" applyFont="1" applyFill="1" applyBorder="1" applyAlignment="1">
      <x:alignment horizontal="general" vertical="bottom" wrapText="0"/>
    </x:xf>
    <x:xf numFmtId="168" fontId="6" fillId="5" borderId="3" xfId="0" applyNumberFormat="1" applyFont="1" applyFill="1" applyBorder="1" applyAlignment="1">
      <x:alignment horizontal="general" vertical="bottom" wrapText="0"/>
    </x:xf>
    <x:xf numFmtId="168" fontId="6" fillId="0" borderId="3" xfId="0" applyNumberFormat="1" applyFont="1" applyFill="1" applyBorder="1" applyAlignment="1">
      <x:alignment horizontal="general" vertical="bottom" wrapText="0"/>
    </x:xf>
    <x:xf numFmtId="170" fontId="6" fillId="5" borderId="3" xfId="0" applyNumberFormat="1" applyFont="1" applyFill="1" applyBorder="1" applyAlignment="1">
      <x:alignment horizontal="general" vertical="bottom" wrapText="0"/>
    </x:xf>
    <x:xf numFmtId="166" fontId="6" fillId="5" borderId="3" xfId="0" applyNumberFormat="1" applyFont="1" applyFill="1" applyBorder="1" applyAlignment="1">
      <x:alignment horizontal="general" vertical="bottom" wrapText="0"/>
    </x:xf>
    <x:xf numFmtId="171" fontId="1" fillId="0" borderId="3" xfId="0" applyNumberFormat="1" applyFont="1" applyFill="1" applyBorder="1" applyAlignment="1">
      <x:alignment horizontal="general" vertical="bottom" wrapText="0"/>
    </x:xf>
    <x:xf numFmtId="172" fontId="11" fillId="0" borderId="3" xfId="0" applyNumberFormat="1" applyFont="1" applyFill="1" applyBorder="1" applyAlignment="1">
      <x:alignment horizontal="general" vertical="bottom" wrapText="0"/>
    </x:xf>
    <x:xf numFmtId="167" fontId="11" fillId="0" borderId="3" xfId="0" applyNumberFormat="1" applyFont="1" applyFill="1" applyBorder="1" applyAlignment="1">
      <x:alignment horizontal="general" vertical="bottom" wrapText="0"/>
    </x:xf>
    <x:xf numFmtId="169" fontId="6" fillId="0" borderId="3" xfId="0" applyNumberFormat="1" applyFont="1" applyFill="1" applyBorder="1" applyAlignment="1">
      <x:alignment horizontal="general" vertical="bottom" wrapText="0"/>
    </x:xf>
    <x:xf numFmtId="164" fontId="6" fillId="7" borderId="3" xfId="0" applyNumberFormat="1" applyFont="1" applyFill="1" applyBorder="1" applyAlignment="1">
      <x:alignment horizontal="general" vertical="bottom" wrapText="0"/>
    </x:xf>
    <x:xf numFmtId="166" fontId="11" fillId="0" borderId="3" xfId="0" applyNumberFormat="1" applyFont="1" applyFill="1" applyBorder="1" applyAlignment="1">
      <x:alignment horizontal="general" vertical="bottom" wrapText="0"/>
    </x:xf>
    <x:xf numFmtId="171" fontId="6" fillId="0" borderId="3" xfId="0" applyNumberFormat="1" applyFont="1" applyFill="1" applyBorder="1" applyAlignment="1">
      <x:alignment horizontal="general" vertical="bottom" wrapText="0"/>
    </x:xf>
    <x:xf numFmtId="172" fontId="8" fillId="4" borderId="3" xfId="0" applyNumberFormat="1" applyFont="1" applyFill="1" applyBorder="1" applyAlignment="1">
      <x:alignment horizontal="general" vertical="bottom" wrapText="0"/>
    </x:xf>
    <x:xf numFmtId="172" fontId="1" fillId="0" borderId="3" xfId="0" applyNumberFormat="1" applyFont="1" applyFill="1" applyBorder="1" applyAlignment="1">
      <x:alignment horizontal="general" vertical="bottom" wrapText="0"/>
    </x:xf>
    <x:xf numFmtId="164" fontId="10" fillId="0" borderId="3" xfId="0" applyNumberFormat="1" applyFont="1" applyFill="1" applyBorder="1" applyAlignment="1">
      <x:alignment horizontal="general" vertical="top" wrapText="1"/>
    </x:xf>
    <x:xf numFmtId="164" fontId="6" fillId="0" borderId="3" xfId="0" applyNumberFormat="1" applyFont="1" applyFill="1" applyBorder="1" applyAlignment="1">
      <x:alignment horizontal="general" vertical="top" wrapText="1"/>
    </x:xf>
    <x:xf numFmtId="171" fontId="6" fillId="5" borderId="3" xfId="0" applyNumberFormat="1" applyFont="1" applyFill="1" applyBorder="1" applyAlignment="1">
      <x:alignment horizontal="general" vertical="bottom" wrapText="0"/>
    </x:xf>
    <x:xf numFmtId="166" fontId="6" fillId="0" borderId="3" xfId="0" applyNumberFormat="1" applyFont="1" applyFill="1" applyBorder="1" applyAlignment="1">
      <x:alignment horizontal="general" vertical="bottom" wrapText="0"/>
    </x:xf>
    <x:xf numFmtId="173" fontId="1" fillId="5" borderId="3" xfId="0" applyNumberFormat="1" applyFont="1" applyFill="1" applyBorder="1" applyAlignment="1">
      <x:alignment horizontal="general" vertical="bottom" wrapText="0"/>
    </x:xf>
    <x:xf numFmtId="173" fontId="1" fillId="7" borderId="3" xfId="0" applyNumberFormat="1" applyFont="1" applyFill="1" applyBorder="1" applyAlignment="1">
      <x:alignment horizontal="general" vertical="bottom" wrapText="0"/>
    </x:xf>
    <x:xf numFmtId="169" fontId="8" fillId="4" borderId="3" xfId="0" applyNumberFormat="1" applyFont="1" applyFill="1" applyBorder="1" applyAlignment="1">
      <x:alignment horizontal="general" vertical="bottom" wrapText="0"/>
    </x:xf>
    <x:xf numFmtId="164" fontId="6" fillId="7" borderId="3" xfId="0" applyNumberFormat="1" applyFont="1" applyFill="1" applyBorder="1" applyAlignment="1">
      <x:alignment horizontal="general" vertical="top" wrapText="1"/>
    </x:xf>
    <x:xf numFmtId="169" fontId="11" fillId="0" borderId="3" xfId="0" applyNumberFormat="1" applyFont="1" applyFill="1" applyBorder="1" applyAlignment="1">
      <x:alignment horizontal="general" vertical="bottom" wrapText="0"/>
    </x:xf>
    <x:xf numFmtId="167" fontId="1" fillId="4" borderId="3" xfId="0" applyNumberFormat="1" applyFont="1" applyFill="1" applyBorder="1" applyAlignment="1">
      <x:alignment horizontal="general" vertical="bottom" wrapText="0"/>
    </x:xf>
    <x:xf numFmtId="164" fontId="0" fillId="8" borderId="0" xfId="0" applyNumberFormat="1" applyFont="1" applyFill="1" applyBorder="1" applyAlignment="1">
      <x:alignment horizontal="general" vertical="bottom" wrapText="0"/>
    </x:xf>
    <x:xf numFmtId="164" fontId="12" fillId="8" borderId="0" xfId="0" applyNumberFormat="1" applyFont="1" applyFill="1" applyBorder="1" applyAlignment="1">
      <x:alignment horizontal="general" vertical="bottom" wrapText="0"/>
    </x:xf>
    <x:xf numFmtId="164" fontId="12" fillId="8" borderId="0" xfId="0" applyNumberFormat="1" applyFont="1" applyFill="1" applyBorder="1" applyAlignment="1">
      <x:alignment horizontal="left" vertical="bottom" wrapText="0"/>
    </x:xf>
    <x:xf numFmtId="164" fontId="12" fillId="8" borderId="0" xfId="0" applyNumberFormat="1" applyFont="1" applyFill="1" applyBorder="1" applyAlignment="1">
      <x:alignment horizontal="left" vertical="center" wrapText="0"/>
    </x:xf>
    <x:xf numFmtId="164" fontId="0" fillId="8" borderId="2" xfId="0" applyNumberFormat="1" applyFont="1" applyFill="1" applyBorder="1" applyAlignment="1">
      <x:alignment horizontal="general" vertical="bottom" wrapText="0"/>
    </x:xf>
    <x:xf numFmtId="164" fontId="12" fillId="8" borderId="2" xfId="0" applyNumberFormat="1" applyFont="1" applyFill="1" applyBorder="1" applyAlignment="1">
      <x:alignment horizontal="general" vertical="bottom" wrapText="0"/>
    </x:xf>
    <x:xf numFmtId="164" fontId="12" fillId="8" borderId="2" xfId="0" applyNumberFormat="1" applyFont="1" applyFill="1" applyBorder="1" applyAlignment="1">
      <x:alignment horizontal="left" vertical="bottom" wrapText="0"/>
    </x:xf>
    <x:xf numFmtId="164" fontId="12" fillId="8" borderId="2" xfId="0" applyNumberFormat="1" applyFont="1" applyFill="1" applyBorder="1" applyAlignment="1">
      <x:alignment horizontal="left" vertical="center" wrapText="0"/>
    </x:xf>
    <x:xf numFmtId="164" fontId="13" fillId="8" borderId="0" xfId="0" applyNumberFormat="1" applyFont="1" applyFill="1" applyBorder="1" applyAlignment="1">
      <x:alignment horizontal="general" vertical="bottom" wrapText="0"/>
    </x:xf>
    <x:xf numFmtId="164" fontId="13" fillId="8" borderId="0" xfId="0" applyNumberFormat="1" applyFont="1" applyFill="1" applyBorder="1" applyAlignment="1">
      <x:alignment horizontal="general" vertical="bottom" wrapText="1"/>
    </x:xf>
    <x:xf numFmtId="164" fontId="13" fillId="8" borderId="0" xfId="0" applyNumberFormat="1" applyFont="1" applyFill="1" applyBorder="1" applyAlignment="1">
      <x:alignment horizontal="center" vertical="bottom" wrapText="1"/>
    </x:xf>
    <x:xf numFmtId="164" fontId="13" fillId="8" borderId="0" xfId="0" applyNumberFormat="1" applyFont="1" applyFill="1" applyBorder="1" applyAlignment="1">
      <x:alignment horizontal="center" vertical="center" wrapText="1"/>
    </x:xf>
    <x:xf numFmtId="164" fontId="13" fillId="8" borderId="2" xfId="0" applyNumberFormat="1" applyFont="1" applyFill="1" applyBorder="1" applyAlignment="1">
      <x:alignment horizontal="general" vertical="bottom" wrapText="0"/>
    </x:xf>
    <x:xf numFmtId="164" fontId="13" fillId="8" borderId="2" xfId="0" applyNumberFormat="1" applyFont="1" applyFill="1" applyBorder="1" applyAlignment="1">
      <x:alignment horizontal="general" vertical="bottom" wrapText="1"/>
    </x:xf>
    <x:xf numFmtId="164" fontId="13" fillId="8" borderId="2" xfId="0" applyNumberFormat="1" applyFont="1" applyFill="1" applyBorder="1" applyAlignment="1">
      <x:alignment horizontal="center" vertical="bottom" wrapText="1"/>
    </x:xf>
    <x:xf numFmtId="164" fontId="13" fillId="8" borderId="2" xfId="0" applyNumberFormat="1" applyFont="1" applyFill="1" applyBorder="1" applyAlignment="1">
      <x:alignment horizontal="center" vertical="center" wrapText="1"/>
    </x:xf>
    <x:xf numFmtId="164" fontId="0" fillId="0" borderId="0" xfId="0" applyNumberFormat="1" applyFont="1" applyFill="1" applyBorder="1" applyAlignment="1">
      <x:alignment horizontal="general" vertical="bottom" wrapText="1"/>
    </x:xf>
    <x:xf numFmtId="164" fontId="0" fillId="0" borderId="2" xfId="0" applyNumberFormat="1" applyFont="1" applyFill="1" applyBorder="1" applyAlignment="1">
      <x:alignment horizontal="general" vertical="bottom" wrapText="1"/>
    </x:xf>
    <x:xf numFmtId="164" fontId="0" fillId="9" borderId="0" xfId="0" applyNumberFormat="1" applyFont="1" applyFill="1" applyBorder="1" applyAlignment="1">
      <x:alignment horizontal="general" vertical="bottom" wrapText="0"/>
    </x:xf>
    <x:xf numFmtId="164" fontId="13" fillId="9" borderId="0" xfId="0" applyNumberFormat="1" applyFont="1" applyFill="1" applyBorder="1" applyAlignment="1">
      <x:alignment horizontal="general" vertical="bottom" wrapText="0"/>
    </x:xf>
    <x:xf numFmtId="164" fontId="13" fillId="9" borderId="0" xfId="0" applyNumberFormat="1" applyFont="1" applyFill="1" applyBorder="1" applyAlignment="1">
      <x:alignment horizontal="left" vertical="bottom" wrapText="0"/>
    </x:xf>
    <x:xf numFmtId="164" fontId="0" fillId="9" borderId="2" xfId="0" applyNumberFormat="1" applyFont="1" applyFill="1" applyBorder="1" applyAlignment="1">
      <x:alignment horizontal="general" vertical="bottom" wrapText="0"/>
    </x:xf>
    <x:xf numFmtId="164" fontId="13" fillId="9" borderId="2" xfId="0" applyNumberFormat="1" applyFont="1" applyFill="1" applyBorder="1" applyAlignment="1">
      <x:alignment horizontal="general" vertical="bottom" wrapText="0"/>
    </x:xf>
    <x:xf numFmtId="164" fontId="13" fillId="9" borderId="2" xfId="0" applyNumberFormat="1" applyFont="1" applyFill="1" applyBorder="1" applyAlignment="1">
      <x:alignment horizontal="left" vertical="bottom" wrapText="0"/>
    </x:xf>
    <x:xf numFmtId="164" fontId="13" fillId="8" borderId="0" xfId="0" applyNumberFormat="1" applyFont="1" applyFill="1" applyBorder="1" applyAlignment="1">
      <x:alignment horizontal="left" vertical="bottom" wrapText="0"/>
    </x:xf>
    <x:xf numFmtId="164" fontId="13" fillId="8" borderId="2" xfId="0" applyNumberFormat="1" applyFont="1" applyFill="1" applyBorder="1" applyAlignment="1">
      <x:alignment horizontal="left" vertical="bottom" wrapText="0"/>
    </x:xf>
    <x:xf numFmtId="164" fontId="0" fillId="10" borderId="0" xfId="0" applyNumberFormat="1" applyFont="1" applyFill="1" applyBorder="1" applyAlignment="1">
      <x:alignment horizontal="general" vertical="bottom" wrapText="0"/>
    </x:xf>
    <x:xf numFmtId="164" fontId="14" fillId="10" borderId="0" xfId="0" applyNumberFormat="1" applyFont="1" applyFill="1" applyBorder="1" applyAlignment="1">
      <x:alignment horizontal="general" vertical="bottom" wrapText="0"/>
    </x:xf>
    <x:xf numFmtId="164" fontId="14" fillId="10" borderId="0" xfId="0" applyNumberFormat="1" applyFont="1" applyFill="1" applyBorder="1" applyAlignment="1">
      <x:alignment horizontal="general" vertical="bottom" wrapText="1"/>
    </x:xf>
    <x:xf numFmtId="164" fontId="14" fillId="10" borderId="0" xfId="0" applyNumberFormat="1" applyFont="1" applyFill="1" applyBorder="1" applyAlignment="1">
      <x:alignment horizontal="general" vertical="center" wrapText="1"/>
    </x:xf>
    <x:xf numFmtId="164" fontId="0" fillId="10" borderId="2" xfId="0" applyNumberFormat="1" applyFont="1" applyFill="1" applyBorder="1" applyAlignment="1">
      <x:alignment horizontal="general" vertical="bottom" wrapText="0"/>
    </x:xf>
    <x:xf numFmtId="164" fontId="14" fillId="10" borderId="2" xfId="0" applyNumberFormat="1" applyFont="1" applyFill="1" applyBorder="1" applyAlignment="1">
      <x:alignment horizontal="general" vertical="bottom" wrapText="0"/>
    </x:xf>
    <x:xf numFmtId="164" fontId="14" fillId="10" borderId="2" xfId="0" applyNumberFormat="1" applyFont="1" applyFill="1" applyBorder="1" applyAlignment="1">
      <x:alignment horizontal="general" vertical="bottom" wrapText="1"/>
    </x:xf>
    <x:xf numFmtId="164" fontId="14" fillId="10" borderId="2" xfId="0" applyNumberFormat="1" applyFont="1" applyFill="1" applyBorder="1" applyAlignment="1">
      <x:alignment horizontal="general" vertical="center" wrapText="1"/>
    </x:xf>
    <x:xf numFmtId="164" fontId="15" fillId="0" borderId="0" xfId="0" applyNumberFormat="1" applyFont="1" applyFill="1" applyBorder="1" applyAlignment="1">
      <x:alignment horizontal="general" vertical="bottom" wrapText="0"/>
    </x:xf>
    <x:xf numFmtId="164" fontId="15" fillId="0" borderId="2" xfId="0" applyNumberFormat="1" applyFont="1" applyFill="1" applyBorder="1" applyAlignment="1">
      <x:alignment horizontal="general" vertical="bottom" wrapText="0"/>
    </x:xf>
    <x:xf numFmtId="164" fontId="16" fillId="0" borderId="0" xfId="0" applyNumberFormat="1" applyFont="1" applyFill="1" applyBorder="1" applyAlignment="1">
      <x:alignment horizontal="general" vertical="bottom" wrapText="0"/>
    </x:xf>
    <x:xf numFmtId="164" fontId="16" fillId="0" borderId="2" xfId="0" applyNumberFormat="1" applyFont="1" applyFill="1" applyBorder="1" applyAlignment="1">
      <x:alignment horizontal="general" vertical="bottom" wrapText="0"/>
    </x:xf>
    <x:xf numFmtId="164" fontId="0" fillId="11" borderId="0" xfId="0" applyNumberFormat="1" applyFont="1" applyFill="1" applyBorder="1" applyAlignment="1">
      <x:alignment horizontal="general" vertical="bottom" wrapText="0"/>
    </x:xf>
    <x:xf numFmtId="164" fontId="0" fillId="11" borderId="2" xfId="0" applyNumberFormat="1" applyFont="1" applyFill="1" applyBorder="1" applyAlignment="1">
      <x:alignment horizontal="general" vertical="bottom" wrapText="0"/>
    </x:xf>
    <x:xf numFmtId="164" fontId="17" fillId="11" borderId="0" xfId="0" applyNumberFormat="1" applyFont="1" applyFill="1" applyBorder="1" applyAlignment="1">
      <x:alignment horizontal="general" vertical="bottom" wrapText="0"/>
    </x:xf>
    <x:xf numFmtId="164" fontId="17" fillId="11" borderId="2" xfId="0" applyNumberFormat="1" applyFont="1" applyFill="1" applyBorder="1" applyAlignment="1">
      <x:alignment horizontal="general" vertical="bottom" wrapText="0"/>
    </x:xf>
    <x:xf numFmtId="200" fontId="17" fillId="11" borderId="0" xfId="0" applyNumberFormat="1" applyFont="1" applyFill="1" applyBorder="1" applyAlignment="1">
      <x:alignment horizontal="general" vertical="bottom" wrapText="0"/>
    </x:xf>
    <x:xf numFmtId="200" fontId="17" fillId="11" borderId="2" xfId="0" applyNumberFormat="1" applyFont="1" applyFill="1" applyBorder="1" applyAlignment="1">
      <x:alignment horizontal="general" vertical="bottom" wrapText="0"/>
    </x:xf>
    <x:xf numFmtId="201" fontId="15" fillId="0" borderId="0" xfId="0" applyNumberFormat="1" applyFont="1" applyFill="1" applyBorder="1" applyAlignment="1">
      <x:alignment horizontal="general" vertical="bottom" wrapText="0"/>
    </x:xf>
    <x:xf numFmtId="201" fontId="17" fillId="11" borderId="0" xfId="0" applyNumberFormat="1" applyFont="1" applyFill="1" applyBorder="1" applyAlignment="1">
      <x:alignment horizontal="general" vertical="bottom" wrapText="0"/>
    </x:xf>
    <x:xf numFmtId="201" fontId="15" fillId="0" borderId="2" xfId="0" applyNumberFormat="1" applyFont="1" applyFill="1" applyBorder="1" applyAlignment="1">
      <x:alignment horizontal="general" vertical="bottom" wrapText="0"/>
    </x:xf>
    <x:xf numFmtId="201" fontId="17" fillId="11" borderId="2" xfId="0" applyNumberFormat="1" applyFont="1" applyFill="1" applyBorder="1" applyAlignment="1">
      <x:alignment horizontal="general" vertical="bottom" wrapText="0"/>
    </x:xf>
    <x:xf numFmtId="201" fontId="16" fillId="0" borderId="0" xfId="0" applyNumberFormat="1" applyFont="1" applyFill="1" applyBorder="1" applyAlignment="1">
      <x:alignment horizontal="general" vertical="bottom" wrapText="0"/>
    </x:xf>
    <x:xf numFmtId="201" fontId="16" fillId="0" borderId="2" xfId="0" applyNumberFormat="1" applyFont="1" applyFill="1" applyBorder="1" applyAlignment="1">
      <x:alignment horizontal="general" vertical="bottom" wrapText="0"/>
    </x:xf>
    <x:xf numFmtId="164" fontId="14" fillId="0" borderId="0" xfId="0" applyNumberFormat="1" applyFont="1" applyFill="1" applyBorder="1" applyAlignment="1">
      <x:alignment horizontal="general" vertical="bottom" wrapText="0"/>
    </x:xf>
    <x:xf numFmtId="164" fontId="14" fillId="0" borderId="2" xfId="0" applyNumberFormat="1" applyFont="1" applyFill="1" applyBorder="1" applyAlignment="1">
      <x:alignment horizontal="general" vertical="bottom" wrapText="0"/>
    </x:xf>
    <x:xf numFmtId="164" fontId="14" fillId="0" borderId="0" xfId="0" applyNumberFormat="1" applyFont="1" applyFill="1" applyBorder="1" applyAlignment="1">
      <x:alignment horizontal="general" vertical="bottom" wrapText="1"/>
    </x:xf>
    <x:xf numFmtId="201" fontId="15" fillId="0" borderId="0" xfId="0" applyNumberFormat="1" applyFont="1" applyFill="1" applyBorder="1" applyAlignment="1">
      <x:alignment horizontal="general" vertical="bottom" wrapText="1"/>
    </x:xf>
    <x:xf numFmtId="201" fontId="17" fillId="11" borderId="0" xfId="0" applyNumberFormat="1" applyFont="1" applyFill="1" applyBorder="1" applyAlignment="1">
      <x:alignment horizontal="general" vertical="bottom" wrapText="1"/>
    </x:xf>
    <x:xf numFmtId="201" fontId="16" fillId="0" borderId="0" xfId="0" applyNumberFormat="1" applyFont="1" applyFill="1" applyBorder="1" applyAlignment="1">
      <x:alignment horizontal="general" vertical="bottom" wrapText="1"/>
    </x:xf>
    <x:xf numFmtId="164" fontId="14" fillId="0" borderId="2" xfId="0" applyNumberFormat="1" applyFont="1" applyFill="1" applyBorder="1" applyAlignment="1">
      <x:alignment horizontal="general" vertical="bottom" wrapText="1"/>
    </x:xf>
    <x:xf numFmtId="201" fontId="15" fillId="0" borderId="2" xfId="0" applyNumberFormat="1" applyFont="1" applyFill="1" applyBorder="1" applyAlignment="1">
      <x:alignment horizontal="general" vertical="bottom" wrapText="1"/>
    </x:xf>
    <x:xf numFmtId="201" fontId="17" fillId="11" borderId="2" xfId="0" applyNumberFormat="1" applyFont="1" applyFill="1" applyBorder="1" applyAlignment="1">
      <x:alignment horizontal="general" vertical="bottom" wrapText="1"/>
    </x:xf>
    <x:xf numFmtId="201" fontId="16" fillId="0" borderId="2" xfId="0" applyNumberFormat="1" applyFont="1" applyFill="1" applyBorder="1" applyAlignment="1">
      <x:alignment horizontal="general" vertical="bottom" wrapText="1"/>
    </x:xf>
    <x:xf numFmtId="164" fontId="0" fillId="12" borderId="0" xfId="0" applyNumberFormat="1" applyFont="1" applyFill="1" applyBorder="1" applyAlignment="1">
      <x:alignment horizontal="general" vertical="bottom" wrapText="0"/>
    </x:xf>
    <x:xf numFmtId="164" fontId="0" fillId="12" borderId="0" xfId="0" applyNumberFormat="1" applyFont="1" applyFill="1" applyBorder="1" applyAlignment="1">
      <x:alignment horizontal="general" vertical="bottom" wrapText="1"/>
    </x:xf>
    <x:xf numFmtId="164" fontId="0" fillId="12" borderId="0" xfId="0" applyNumberFormat="1" applyFont="1" applyFill="1" applyBorder="1" applyAlignment="1">
      <x:alignment horizontal="general" vertical="center" wrapText="1"/>
    </x:xf>
    <x:xf numFmtId="164" fontId="0" fillId="12" borderId="2" xfId="0" applyNumberFormat="1" applyFont="1" applyFill="1" applyBorder="1" applyAlignment="1">
      <x:alignment horizontal="general" vertical="bottom" wrapText="0"/>
    </x:xf>
    <x:xf numFmtId="164" fontId="0" fillId="12" borderId="2" xfId="0" applyNumberFormat="1" applyFont="1" applyFill="1" applyBorder="1" applyAlignment="1">
      <x:alignment horizontal="general" vertical="bottom" wrapText="1"/>
    </x:xf>
    <x:xf numFmtId="164" fontId="0" fillId="12" borderId="2" xfId="0" applyNumberFormat="1" applyFont="1" applyFill="1" applyBorder="1" applyAlignment="1">
      <x:alignment horizontal="general" vertical="center" wrapText="1"/>
    </x:xf>
    <x:xf numFmtId="200" fontId="17" fillId="11" borderId="0" xfId="0" applyNumberFormat="1" applyFont="1" applyFill="1" applyBorder="1" applyAlignment="1">
      <x:alignment horizontal="general" vertical="bottom" wrapText="1"/>
    </x:xf>
    <x:xf numFmtId="200" fontId="17" fillId="11" borderId="2" xfId="0" applyNumberFormat="1" applyFont="1" applyFill="1" applyBorder="1" applyAlignment="1">
      <x:alignment horizontal="general" vertical="bottom" wrapText="1"/>
    </x:xf>
    <x:xf numFmtId="164" fontId="15" fillId="0" borderId="0" xfId="0" applyNumberFormat="1" applyFont="1" applyFill="1" applyBorder="1" applyAlignment="1">
      <x:alignment horizontal="general" vertical="bottom" wrapText="1"/>
    </x:xf>
    <x:xf numFmtId="164" fontId="15" fillId="0" borderId="2" xfId="0" applyNumberFormat="1" applyFont="1" applyFill="1" applyBorder="1" applyAlignment="1">
      <x:alignment horizontal="general" vertical="bottom" wrapText="1"/>
    </x:xf>
    <x:xf numFmtId="164" fontId="17" fillId="11" borderId="0" xfId="0" applyNumberFormat="1" applyFont="1" applyFill="1" applyBorder="1" applyAlignment="1">
      <x:alignment horizontal="general" vertical="bottom" wrapText="1"/>
    </x:xf>
    <x:xf numFmtId="164" fontId="17" fillId="11" borderId="2" xfId="0" applyNumberFormat="1" applyFont="1" applyFill="1" applyBorder="1" applyAlignment="1">
      <x:alignment horizontal="general" vertical="bottom" wrapText="1"/>
    </x:xf>
    <x:xf numFmtId="164" fontId="18" fillId="0" borderId="0" xfId="0" applyNumberFormat="1" applyFont="1" applyFill="1" applyBorder="1" applyAlignment="1">
      <x:alignment horizontal="general" vertical="bottom" wrapText="0"/>
    </x:xf>
    <x:xf numFmtId="164" fontId="18" fillId="0" borderId="2" xfId="0" applyNumberFormat="1" applyFont="1" applyFill="1" applyBorder="1" applyAlignment="1">
      <x:alignment horizontal="general" vertical="bottom" wrapText="0"/>
    </x:xf>
    <x:xf numFmtId="200" fontId="15" fillId="0" borderId="0" xfId="0" applyNumberFormat="1" applyFont="1" applyFill="1" applyBorder="1" applyAlignment="1">
      <x:alignment horizontal="general" vertical="bottom" wrapText="0"/>
    </x:xf>
    <x:xf numFmtId="200" fontId="15" fillId="0" borderId="2" xfId="0" applyNumberFormat="1" applyFont="1" applyFill="1" applyBorder="1" applyAlignment="1">
      <x:alignment horizontal="general" vertical="bottom" wrapText="0"/>
    </x:xf>
    <x:xf numFmtId="201" fontId="18" fillId="0" borderId="0" xfId="0" applyNumberFormat="1" applyFont="1" applyFill="1" applyBorder="1" applyAlignment="1">
      <x:alignment horizontal="general" vertical="bottom" wrapText="0"/>
    </x:xf>
    <x:xf numFmtId="201" fontId="18" fillId="0" borderId="2" xfId="0" applyNumberFormat="1" applyFont="1" applyFill="1" applyBorder="1" applyAlignment="1">
      <x:alignment horizontal="general" vertical="bottom" wrapText="0"/>
    </x:xf>
    <x:xf numFmtId="164" fontId="0" fillId="13" borderId="0" xfId="0" applyNumberFormat="1" applyFont="1" applyFill="1" applyBorder="1" applyAlignment="1">
      <x:alignment horizontal="general" vertical="bottom" wrapText="0"/>
    </x:xf>
    <x:xf numFmtId="164" fontId="14" fillId="13" borderId="0" xfId="0" applyNumberFormat="1" applyFont="1" applyFill="1" applyBorder="1" applyAlignment="1">
      <x:alignment horizontal="general" vertical="bottom" wrapText="0"/>
    </x:xf>
    <x:xf numFmtId="164" fontId="14" fillId="13" borderId="0" xfId="0" applyNumberFormat="1" applyFont="1" applyFill="1" applyBorder="1" applyAlignment="1">
      <x:alignment horizontal="general" vertical="bottom" wrapText="1"/>
    </x:xf>
    <x:xf numFmtId="164" fontId="0" fillId="13" borderId="2" xfId="0" applyNumberFormat="1" applyFont="1" applyFill="1" applyBorder="1" applyAlignment="1">
      <x:alignment horizontal="general" vertical="bottom" wrapText="0"/>
    </x:xf>
    <x:xf numFmtId="164" fontId="14" fillId="13" borderId="2" xfId="0" applyNumberFormat="1" applyFont="1" applyFill="1" applyBorder="1" applyAlignment="1">
      <x:alignment horizontal="general" vertical="bottom" wrapText="0"/>
    </x:xf>
    <x:xf numFmtId="164" fontId="14" fillId="13" borderId="2" xfId="0" applyNumberFormat="1" applyFont="1" applyFill="1" applyBorder="1" applyAlignment="1">
      <x:alignment horizontal="general" vertical="bottom" wrapText="1"/>
    </x:xf>
    <x:xf numFmtId="200" fontId="0" fillId="0" borderId="0" xfId="0" applyNumberFormat="1" applyFont="1" applyFill="1" applyBorder="1" applyAlignment="1">
      <x:alignment horizontal="general" vertical="bottom" wrapText="0"/>
    </x:xf>
    <x:xf numFmtId="200" fontId="0" fillId="0" borderId="2" xfId="0" applyNumberFormat="1" applyFont="1" applyFill="1" applyBorder="1" applyAlignment="1">
      <x:alignment horizontal="general" vertical="bottom" wrapText="0"/>
    </x:xf>
    <x:xf numFmtId="201" fontId="0" fillId="0" borderId="0" xfId="0" applyNumberFormat="1" applyFont="1" applyFill="1" applyBorder="1" applyAlignment="1">
      <x:alignment horizontal="general" vertical="bottom" wrapText="0"/>
    </x:xf>
    <x:xf numFmtId="201" fontId="0" fillId="0" borderId="2" xfId="0" applyNumberFormat="1" applyFont="1" applyFill="1" applyBorder="1" applyAlignment="1">
      <x:alignment horizontal="general" vertical="bottom" wrapText="0"/>
    </x:xf>
    <x:xf numFmtId="201" fontId="13" fillId="8" borderId="0" xfId="0" applyNumberFormat="1" applyFont="1" applyFill="1" applyBorder="1" applyAlignment="1">
      <x:alignment horizontal="center" vertical="center" wrapText="1"/>
    </x:xf>
    <x:xf numFmtId="201" fontId="13" fillId="8" borderId="2" xfId="0" applyNumberFormat="1" applyFont="1" applyFill="1" applyBorder="1" applyAlignment="1">
      <x:alignment horizontal="center" vertical="center" wrapText="1"/>
    </x:xf>
    <x:xf numFmtId="164" fontId="16" fillId="0" borderId="0" xfId="0" applyNumberFormat="1" applyFont="1" applyFill="1" applyBorder="1" applyAlignment="1">
      <x:alignment horizontal="general" vertical="bottom" wrapText="1"/>
    </x:xf>
    <x:xf numFmtId="164" fontId="13" fillId="8" borderId="0" xfId="0" applyNumberFormat="1" applyFont="1" applyFill="1" applyBorder="1" applyAlignment="1">
      <x:alignment horizontal="left" vertical="bottom" wrapText="1"/>
    </x:xf>
    <x:xf numFmtId="201" fontId="0" fillId="0" borderId="0" xfId="0" applyNumberFormat="1" applyFont="1" applyFill="1" applyBorder="1" applyAlignment="1">
      <x:alignment horizontal="general" vertical="bottom" wrapText="1"/>
    </x:xf>
    <x:xf numFmtId="164" fontId="13" fillId="9" borderId="0" xfId="0" applyNumberFormat="1" applyFont="1" applyFill="1" applyBorder="1" applyAlignment="1">
      <x:alignment horizontal="left" vertical="bottom" wrapText="1"/>
    </x:xf>
    <x:xf numFmtId="200" fontId="0" fillId="0" borderId="0" xfId="0" applyNumberFormat="1" applyFont="1" applyFill="1" applyBorder="1" applyAlignment="1">
      <x:alignment horizontal="general" vertical="bottom" wrapText="1"/>
    </x:xf>
    <x:xf numFmtId="164" fontId="16" fillId="0" borderId="2" xfId="0" applyNumberFormat="1" applyFont="1" applyFill="1" applyBorder="1" applyAlignment="1">
      <x:alignment horizontal="general" vertical="bottom" wrapText="1"/>
    </x:xf>
    <x:xf numFmtId="164" fontId="13" fillId="8" borderId="2" xfId="0" applyNumberFormat="1" applyFont="1" applyFill="1" applyBorder="1" applyAlignment="1">
      <x:alignment horizontal="left" vertical="bottom" wrapText="1"/>
    </x:xf>
    <x:xf numFmtId="201" fontId="0" fillId="0" borderId="2" xfId="0" applyNumberFormat="1" applyFont="1" applyFill="1" applyBorder="1" applyAlignment="1">
      <x:alignment horizontal="general" vertical="bottom" wrapText="1"/>
    </x:xf>
    <x:xf numFmtId="164" fontId="13" fillId="9" borderId="2" xfId="0" applyNumberFormat="1" applyFont="1" applyFill="1" applyBorder="1" applyAlignment="1">
      <x:alignment horizontal="left" vertical="bottom" wrapText="1"/>
    </x:xf>
    <x:xf numFmtId="200" fontId="0" fillId="0" borderId="2" xfId="0" applyNumberFormat="1" applyFont="1" applyFill="1" applyBorder="1" applyAlignment="1">
      <x:alignment horizontal="general" vertical="bottom" wrapText="1"/>
    </x:xf>
    <x:xf numFmtId="202" fontId="0" fillId="0" borderId="0" xfId="0" applyNumberFormat="1" applyFont="1" applyFill="1" applyBorder="1" applyAlignment="1">
      <x:alignment horizontal="general" vertical="bottom" wrapText="0"/>
    </x:xf>
    <x:xf numFmtId="202" fontId="0" fillId="0" borderId="2" xfId="0" applyNumberFormat="1" applyFont="1" applyFill="1" applyBorder="1" applyAlignment="1">
      <x:alignment horizontal="general" vertical="bottom" wrapText="0"/>
    </x:xf>
    <x:xf numFmtId="164" fontId="0" fillId="10" borderId="0" xfId="0" applyNumberFormat="1" applyFont="1" applyFill="1" applyBorder="1" applyAlignment="1">
      <x:alignment horizontal="general" vertical="bottom" wrapText="1"/>
    </x:xf>
    <x:xf numFmtId="164" fontId="0" fillId="10" borderId="0" xfId="0" applyNumberFormat="1" applyFont="1" applyFill="1" applyBorder="1" applyAlignment="1">
      <x:alignment horizontal="general" vertical="center" wrapText="1"/>
    </x:xf>
    <x:xf numFmtId="164" fontId="0" fillId="10" borderId="2" xfId="0" applyNumberFormat="1" applyFont="1" applyFill="1" applyBorder="1" applyAlignment="1">
      <x:alignment horizontal="general" vertical="bottom" wrapText="1"/>
    </x:xf>
    <x:xf numFmtId="164" fontId="0" fillId="10" borderId="2" xfId="0" applyNumberFormat="1" applyFont="1" applyFill="1" applyBorder="1" applyAlignment="1">
      <x:alignment horizontal="general" vertical="center" wrapText="1"/>
    </x:xf>
    <x:xf numFmtId="202" fontId="0" fillId="0" borderId="0" xfId="0" applyNumberFormat="1" applyFont="1" applyFill="1" applyBorder="1" applyAlignment="1">
      <x:alignment horizontal="general" vertical="bottom" wrapText="1"/>
    </x:xf>
    <x:xf numFmtId="202" fontId="0" fillId="0" borderId="2" xfId="0" applyNumberFormat="1" applyFont="1" applyFill="1" applyBorder="1" applyAlignment="1">
      <x:alignment horizontal="general" vertical="bottom" wrapText="1"/>
    </x:xf>
    <x:xf numFmtId="164" fontId="0" fillId="13" borderId="0" xfId="0" applyNumberFormat="1" applyFont="1" applyFill="1" applyBorder="1" applyAlignment="1">
      <x:alignment horizontal="general" vertical="bottom" wrapText="1"/>
    </x:xf>
    <x:xf numFmtId="164" fontId="0" fillId="13" borderId="0" xfId="0" applyNumberFormat="1" applyFont="1" applyFill="1" applyBorder="1" applyAlignment="1">
      <x:alignment horizontal="general" vertical="center" wrapText="1"/>
    </x:xf>
    <x:xf numFmtId="164" fontId="0" fillId="13" borderId="2" xfId="0" applyNumberFormat="1" applyFont="1" applyFill="1" applyBorder="1" applyAlignment="1">
      <x:alignment horizontal="general" vertical="bottom" wrapText="1"/>
    </x:xf>
    <x:xf numFmtId="164" fontId="0" fillId="13" borderId="2" xfId="0" applyNumberFormat="1" applyFont="1" applyFill="1" applyBorder="1" applyAlignment="1">
      <x:alignment horizontal="general" vertical="center" wrapText="1"/>
    </x:xf>
    <x:xf numFmtId="166" fontId="15" fillId="0" borderId="0" xfId="0" applyNumberFormat="1" applyFont="1" applyFill="1" applyBorder="1" applyAlignment="1">
      <x:alignment horizontal="general" vertical="bottom" wrapText="1"/>
    </x:xf>
    <x:xf numFmtId="166" fontId="17" fillId="11" borderId="0" xfId="0" applyNumberFormat="1" applyFont="1" applyFill="1" applyBorder="1" applyAlignment="1">
      <x:alignment horizontal="general" vertical="bottom" wrapText="1"/>
    </x:xf>
    <x:xf numFmtId="166" fontId="16" fillId="0" borderId="0" xfId="0" applyNumberFormat="1" applyFont="1" applyFill="1" applyBorder="1" applyAlignment="1">
      <x:alignment horizontal="general" vertical="bottom" wrapText="1"/>
    </x:xf>
    <x:xf numFmtId="166" fontId="15" fillId="0" borderId="2" xfId="0" applyNumberFormat="1" applyFont="1" applyFill="1" applyBorder="1" applyAlignment="1">
      <x:alignment horizontal="general" vertical="bottom" wrapText="1"/>
    </x:xf>
    <x:xf numFmtId="166" fontId="17" fillId="11" borderId="2" xfId="0" applyNumberFormat="1" applyFont="1" applyFill="1" applyBorder="1" applyAlignment="1">
      <x:alignment horizontal="general" vertical="bottom" wrapText="1"/>
    </x:xf>
    <x:xf numFmtId="166" fontId="16" fillId="0" borderId="2" xfId="0" applyNumberFormat="1" applyFont="1" applyFill="1" applyBorder="1" applyAlignment="1">
      <x:alignment horizontal="general" vertical="bottom" wrapText="1"/>
    </x:xf>
    <x:xf numFmtId="166" fontId="0" fillId="0" borderId="0" xfId="0" applyNumberFormat="1" applyFont="1" applyFill="1" applyBorder="1" applyAlignment="1">
      <x:alignment horizontal="general" vertical="bottom" wrapText="0"/>
    </x:xf>
    <x:xf numFmtId="166" fontId="0" fillId="0" borderId="2" xfId="0" applyNumberFormat="1" applyFont="1" applyFill="1" applyBorder="1" applyAlignment="1">
      <x:alignment horizontal="general" vertical="bottom" wrapText="0"/>
    </x:xf>
    <x:xf numFmtId="164" fontId="0" fillId="8" borderId="0" xfId="0" applyNumberFormat="1" applyFont="1" applyFill="1" applyBorder="1" applyAlignment="1">
      <x:alignment horizontal="general" vertical="bottom" wrapText="1"/>
    </x:xf>
    <x:xf numFmtId="164" fontId="0" fillId="8" borderId="2" xfId="0" applyNumberFormat="1" applyFont="1" applyFill="1" applyBorder="1" applyAlignment="1">
      <x:alignment horizontal="general" vertical="bottom" wrapText="1"/>
    </x:xf>
    <x:xf numFmtId="166" fontId="0" fillId="0" borderId="0" xfId="0" applyNumberFormat="1" applyFont="1" applyFill="1" applyBorder="1" applyAlignment="1">
      <x:alignment horizontal="general" vertical="bottom" wrapText="1"/>
    </x:xf>
    <x:xf numFmtId="166" fontId="0" fillId="0" borderId="2"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2E5FA3"/>
      <x:rgbColor rgb="FFCCCCFF"/>
      <x:rgbColor rgb="FF000080"/>
      <x:rgbColor rgb="FFFF00FF"/>
      <x:rgbColor rgb="FFFFFF00"/>
      <x:rgbColor rgb="FF00FFFF"/>
      <x:rgbColor rgb="FF800080"/>
      <x:rgbColor rgb="FF800000"/>
      <x:rgbColor rgb="FF008080"/>
      <x:rgbColor rgb="FF0000FF"/>
      <x:rgbColor rgb="FF00CCFF"/>
      <x:rgbColor rgb="FFCCFFFF"/>
      <x:rgbColor rgb="FFE2EFDA"/>
      <x:rgbColor rgb="FFFFFF99"/>
      <x:rgbColor rgb="FF99CCFF"/>
      <x:rgbColor rgb="FFFF99CC"/>
      <x:rgbColor rgb="FFCC99FF"/>
      <x:rgbColor rgb="FFFCE4E4"/>
      <x:rgbColor rgb="FF4472C4"/>
      <x:rgbColor rgb="FF33CCCC"/>
      <x:rgbColor rgb="FF99CC00"/>
      <x:rgbColor rgb="FFFFCC00"/>
      <x:rgbColor rgb="FFFF9900"/>
      <x:rgbColor rgb="FFFF6600"/>
      <x:rgbColor rgb="FF555555"/>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680130cd0694e5c" /><Relationship Type="http://schemas.openxmlformats.org/officeDocument/2006/relationships/theme" Target="/xl/theme/theme1.xml" Id="R282ff93f84e343a8" /><Relationship Type="http://schemas.openxmlformats.org/officeDocument/2006/relationships/sharedStrings" Target="/xl/sharedStrings.xml" Id="R8cf66a7ac6bf4c91" /><Relationship Type="http://schemas.openxmlformats.org/officeDocument/2006/relationships/worksheet" Target="/xl/worksheets/sheet1.xml" Id="Rdf5fd89beff949e3" /><Relationship Type="http://schemas.openxmlformats.org/officeDocument/2006/relationships/worksheet" Target="/xl/worksheets/sheet2.xml" Id="R4ebce17f0f4049a8" /><Relationship Type="http://schemas.openxmlformats.org/officeDocument/2006/relationships/worksheet" Target="/xl/worksheets/sheet3.xml" Id="Rc3f3e72070af4bcc" /><Relationship Type="http://schemas.openxmlformats.org/officeDocument/2006/relationships/worksheet" Target="/xl/worksheets/sheet4.xml" Id="Rf2028a2d3fac478d" /><Relationship Type="http://schemas.openxmlformats.org/officeDocument/2006/relationships/worksheet" Target="/xl/worksheets/sheet5.xml" Id="R213e7c522359420a" /><Relationship Type="http://schemas.openxmlformats.org/officeDocument/2006/relationships/worksheet" Target="/xl/worksheets/sheet6.xml" Id="Rfec70a1c52fb42bd" /><Relationship Type="http://schemas.openxmlformats.org/officeDocument/2006/relationships/worksheet" Target="/xl/worksheets/sheet7.xml" Id="R9160be1add2547ce" /><Relationship Type="http://schemas.openxmlformats.org/officeDocument/2006/relationships/worksheet" Target="/xl/worksheets/sheet8.xml" Id="R4137ec8082c940da" /><Relationship Type="http://schemas.openxmlformats.org/officeDocument/2006/relationships/worksheet" Target="/xl/worksheets/sheet9.xml" Id="Rdf7c57cb494640db" /><Relationship Type="http://schemas.openxmlformats.org/officeDocument/2006/relationships/worksheet" Target="/xl/worksheets/sheet10.xml" Id="Rabac4b9da98e40eb" /><Relationship Type="http://schemas.openxmlformats.org/officeDocument/2006/relationships/worksheet" Target="/xl/worksheets/sheet11.xml" Id="R3af847fb41a6464c" /><Relationship Type="http://schemas.openxmlformats.org/officeDocument/2006/relationships/worksheet" Target="/xl/worksheets/sheet12.xml" Id="Rccb0400a19254dc0" /><Relationship Type="http://schemas.openxmlformats.org/officeDocument/2006/relationships/worksheet" Target="/xl/worksheets/sheet13.xml" Id="R9bb453c979d54f53" /><Relationship Type="http://schemas.openxmlformats.org/officeDocument/2006/relationships/worksheet" Target="/xl/worksheets/sheet14.xml" Id="Rc0f8974628e646a0" /><Relationship Type="http://schemas.openxmlformats.org/officeDocument/2006/relationships/worksheet" Target="/xl/worksheets/sheet15.xml" Id="R99053ce0c45e4ce1" /><Relationship Type="http://schemas.openxmlformats.org/officeDocument/2006/relationships/worksheet" Target="/xl/worksheets/sheet16.xml" Id="R51b148d546c040f2" /><Relationship Type="http://schemas.openxmlformats.org/officeDocument/2006/relationships/worksheet" Target="/xl/worksheets/sheet17.xml" Id="R919951eedb964871" /><Relationship Type="http://schemas.openxmlformats.org/officeDocument/2006/relationships/worksheet" Target="/xl/worksheets/sheet18.xml" Id="Rabbca57895114dd0" /><Relationship Type="http://schemas.openxmlformats.org/officeDocument/2006/relationships/worksheet" Target="/xl/worksheets/sheet19.xml" Id="Rf4e549da3c064ec7" /><Relationship Type="http://schemas.openxmlformats.org/officeDocument/2006/relationships/worksheet" Target="/xl/worksheets/sheet20.xml" Id="Rb7f3468a648843da"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796875" defaultRowHeight="15"/>
  <x:cols>
    <x:col min="1" max="1" width="30" hidden="0" customWidth="1"/>
    <x:col min="2" max="3" width="44" hidden="0" customWidth="1"/>
    <x:col min="4" max="4" width="46" hidden="0" customWidth="1"/>
  </x:cols>
  <x:sheetData>
    <x:row r="1" ht="21.75" hidden="0" customHeight="1">
      <x:c r="A1" s="1" t="s">
        <x:v>0</x:v>
      </x:c>
      <x:c r="B1" s="1"/>
      <x:c r="C1" s="1"/>
      <x:c r="D1" s="1"/>
    </x:row>
    <x:row r="3" ht="27.75" hidden="0" customHeight="1">
      <x:c r="A3" s="2" t="s">
        <x:v>1</x:v>
      </x:c>
      <x:c r="B3" s="2" t="s">
        <x:v>2</x:v>
      </x:c>
      <x:c r="C3" s="2" t="s">
        <x:v>3</x:v>
      </x:c>
      <x:c r="D3" s="2" t="s">
        <x:v>4</x:v>
      </x:c>
    </x:row>
    <x:row r="4" ht="61.5" hidden="0" customHeight="1">
      <x:c r="A4" s="3" t="s">
        <x:v>5</x:v>
      </x:c>
      <x:c r="B4" s="4" t="s">
        <x:v>6</x:v>
      </x:c>
      <x:c r="C4" s="4" t="s">
        <x:v>7</x:v>
      </x:c>
      <x:c r="D4" s="4" t="s">
        <x:v>8</x:v>
      </x:c>
    </x:row>
    <x:row r="5" ht="61.5" hidden="0" customHeight="1">
      <x:c r="A5" s="3" t="s">
        <x:v>9</x:v>
      </x:c>
      <x:c r="B5" s="4" t="s">
        <x:v>10</x:v>
      </x:c>
      <x:c r="C5" s="4" t="s">
        <x:v>11</x:v>
      </x:c>
      <x:c r="D5" s="4" t="s">
        <x:v>12</x:v>
      </x:c>
    </x:row>
    <x:row r="6" ht="61.5" hidden="0" customHeight="1">
      <x:c r="A6" s="3" t="s">
        <x:v>13</x:v>
      </x:c>
      <x:c r="B6" s="4" t="s">
        <x:v>14</x:v>
      </x:c>
      <x:c r="C6" s="4" t="s">
        <x:v>15</x:v>
      </x:c>
      <x:c r="D6" s="4" t="s">
        <x:v>16</x:v>
      </x:c>
    </x:row>
    <x:row r="7" ht="61.5" hidden="0" customHeight="1">
      <x:c r="A7" s="3" t="s">
        <x:v>17</x:v>
      </x:c>
      <x:c r="B7" s="4" t="s">
        <x:v>18</x:v>
      </x:c>
      <x:c r="C7" s="4" t="s">
        <x:v>19</x:v>
      </x:c>
      <x:c r="D7" s="4" t="s">
        <x:v>20</x:v>
      </x:c>
    </x:row>
    <x:row r="8" ht="61.5" hidden="0" customHeight="1">
      <x:c r="A8" s="3" t="s">
        <x:v>21</x:v>
      </x:c>
      <x:c r="B8" s="4" t="s">
        <x:v>22</x:v>
      </x:c>
      <x:c r="C8" s="4" t="s">
        <x:v>23</x:v>
      </x:c>
      <x:c r="D8" s="4" t="s">
        <x:v>24</x:v>
      </x:c>
    </x:row>
    <x:row r="9" ht="61.5" hidden="0" customHeight="1">
      <x:c r="A9" s="3" t="s">
        <x:v>25</x:v>
      </x:c>
      <x:c r="B9" s="4" t="s">
        <x:v>26</x:v>
      </x:c>
      <x:c r="C9" s="4" t="s">
        <x:v>27</x:v>
      </x:c>
      <x:c r="D9" s="4" t="s">
        <x:v>28</x:v>
      </x:c>
    </x:row>
    <x:row r="10" ht="61.5" hidden="0" customHeight="1">
      <x:c r="A10" s="3" t="s">
        <x:v>29</x:v>
      </x:c>
      <x:c r="B10" s="4" t="s">
        <x:v>30</x:v>
      </x:c>
      <x:c r="C10" s="4" t="s">
        <x:v>31</x:v>
      </x:c>
      <x:c r="D10" s="4" t="s">
        <x:v>32</x:v>
      </x:c>
    </x:row>
    <x:row r="11" ht="61.5" hidden="0" customHeight="1">
      <x:c r="A11" s="3" t="s">
        <x:v>33</x:v>
      </x:c>
      <x:c r="B11" s="4" t="s">
        <x:v>34</x:v>
      </x:c>
      <x:c r="C11" s="4" t="s">
        <x:v>35</x:v>
      </x:c>
      <x:c r="D11" s="4" t="s">
        <x:v>36</x:v>
      </x:c>
    </x:row>
    <x:row r="12" ht="61.5" hidden="0" customHeight="1">
      <x:c r="A12" s="3" t="s">
        <x:v>37</x:v>
      </x:c>
      <x:c r="B12" s="4" t="s">
        <x:v>38</x:v>
      </x:c>
      <x:c r="C12" s="4" t="s">
        <x:v>19</x:v>
      </x:c>
      <x:c r="D12" s="4" t="s">
        <x:v>39</x:v>
      </x:c>
    </x:row>
    <x:row r="13" ht="61.5" hidden="0" customHeight="1">
      <x:c r="A13" s="3" t="s">
        <x:v>40</x:v>
      </x:c>
      <x:c r="B13" s="4" t="s">
        <x:v>41</x:v>
      </x:c>
      <x:c r="C13" s="4" t="s">
        <x:v>42</x:v>
      </x:c>
      <x:c r="D13" s="4" t="s">
        <x:v>43</x:v>
      </x:c>
    </x:row>
    <x:row r="14" ht="61.5" hidden="0" customHeight="1">
      <x:c r="A14" s="3" t="s">
        <x:v>44</x:v>
      </x:c>
      <x:c r="B14" s="4" t="s">
        <x:v>45</x:v>
      </x:c>
      <x:c r="C14" s="4" t="s">
        <x:v>46</x:v>
      </x:c>
      <x:c r="D14" s="4" t="s">
        <x:v>47</x:v>
      </x:c>
    </x:row>
    <x:row r="15" ht="61.5" hidden="0" customHeight="1">
      <x:c r="A15" s="3" t="s">
        <x:v>48</x:v>
      </x:c>
      <x:c r="B15" s="4" t="s">
        <x:v>49</x:v>
      </x:c>
      <x:c r="C15" s="4" t="s">
        <x:v>50</x:v>
      </x:c>
      <x:c r="D15" s="4" t="s">
        <x:v>51</x:v>
      </x:c>
    </x:row>
    <x:row r="16" ht="61.5" hidden="0" customHeight="1">
      <x:c r="A16" s="3" t="s">
        <x:v>52</x:v>
      </x:c>
      <x:c r="B16" s="4" t="s">
        <x:v>53</x:v>
      </x:c>
      <x:c r="C16" s="4" t="s">
        <x:v>54</x:v>
      </x:c>
      <x:c r="D16" s="4" t="s">
        <x:v>55</x:v>
      </x:c>
    </x:row>
    <x:row r="18" ht="15" hidden="0">
      <x:c r="A18" s="5" t="s">
        <x:v>56</x:v>
      </x:c>
    </x:row>
    <x:row r="19" ht="15" hidden="0" customHeight="1">
      <x:c r="A19" s="6" t="s">
        <x:v>57</x:v>
      </x:c>
      <x:c r="B19" s="4" t="s">
        <x:v>58</x:v>
      </x:c>
      <x:c r="C19" s="4"/>
      <x:c r="D19" s="4"/>
    </x:row>
    <x:row r="20" ht="15" hidden="0" customHeight="1">
      <x:c r="A20" s="6" t="s">
        <x:v>59</x:v>
      </x:c>
      <x:c r="B20" s="4" t="s">
        <x:v>60</x:v>
      </x:c>
      <x:c r="C20" s="4"/>
      <x:c r="D20" s="4"/>
    </x:row>
    <x:row r="21" ht="15" hidden="0" customHeight="1">
      <x:c r="A21" s="6" t="s">
        <x:v>61</x:v>
      </x:c>
      <x:c r="B21" s="4" t="s">
        <x:v>62</x:v>
      </x:c>
      <x:c r="C21" s="4"/>
      <x:c r="D21" s="4"/>
    </x:row>
    <x:row r="22" ht="15" hidden="0" customHeight="1">
      <x:c r="A22" s="6" t="s">
        <x:v>63</x:v>
      </x:c>
      <x:c r="B22" s="4" t="s">
        <x:v>64</x:v>
      </x:c>
      <x:c r="C22" s="4"/>
      <x:c r="D22" s="4"/>
    </x:row>
    <x:row r="23" ht="15" hidden="0" customHeight="1">
      <x:c r="A23" s="6" t="s">
        <x:v>65</x:v>
      </x:c>
      <x:c r="B23" s="4" t="s">
        <x:v>66</x:v>
      </x:c>
      <x:c r="C23" s="4"/>
      <x:c r="D23" s="4"/>
    </x:row>
    <x:row r="24" ht="15" hidden="0" customHeight="1">
      <x:c r="A24" s="6" t="s">
        <x:v>67</x:v>
      </x:c>
      <x:c r="B24" s="4" t="s">
        <x:v>68</x:v>
      </x:c>
      <x:c r="C24" s="4"/>
      <x:c r="D24" s="4"/>
    </x:row>
    <x:row r="25" ht="15" hidden="0" customHeight="1">
      <x:c r="A25" s="6" t="s">
        <x:v>69</x:v>
      </x:c>
      <x:c r="B25" s="4" t="s">
        <x:v>70</x:v>
      </x:c>
      <x:c r="C25" s="4"/>
      <x:c r="D25" s="4"/>
    </x:row>
    <x:row r="26" ht="15" hidden="0" customHeight="1">
      <x:c r="A26" s="6" t="s">
        <x:v>71</x:v>
      </x:c>
      <x:c r="B26" s="4" t="s">
        <x:v>72</x:v>
      </x:c>
      <x:c r="C26" s="4"/>
      <x:c r="D26" s="4"/>
    </x:row>
  </x:sheetData>
  <x:mergeCells>
    <x:mergeCell ref="A1:D1"/>
    <x:mergeCell ref="B19:D19"/>
    <x:mergeCell ref="B20:D20"/>
    <x:mergeCell ref="B21:D21"/>
    <x:mergeCell ref="B22:D22"/>
    <x:mergeCell ref="B23:D23"/>
    <x:mergeCell ref="B24:D24"/>
    <x:mergeCell ref="B25:D25"/>
    <x:mergeCell ref="B26:D26"/>
  </x:mergeCells>
  <x:pageMargins left="0.7" right="0.7" top="0.75" bottom="0.75" header="0.3" footer="0.3"/>
</x:worksheet>
</file>

<file path=xl/worksheets/sheet2.xml><?xml version="1.0" encoding="utf-8"?>
<x:worksheet xmlns:x="http://schemas.openxmlformats.org/spreadsheetml/2006/main">
  <x:sheetPr>
    <x:tabColor rgb="FF808080"/>
  </x:sheetPr>
  <x:sheetViews>
    <x:sheetView showGridLines="0" workbookViewId="0"/>
  </x:sheetViews>
  <x:sheetFormatPr defaultColWidth="8.6796875" defaultRowHeight="15"/>
  <x:sheetData>
    <x:row r="2" ht="15" hidden="0">
      <x:c r="A2" s="7" t="s">
        <x:v>73</x:v>
      </x:c>
    </x:row>
    <x:row r="5" ht="15" hidden="0">
      <x:c r="A5" s="7" t="s">
        <x:v>74</x:v>
      </x:c>
      <x:c r="B5" s="7" t="s">
        <x:v>75</x:v>
      </x:c>
      <x:c r="C5" s="7" t="s">
        <x:v>76</x:v>
      </x:c>
      <x:c r="D5" s="7" t="s">
        <x:v>77</x:v>
      </x:c>
    </x:row>
    <x:row r="6" ht="15" hidden="0">
      <x:c r="A6" s="7" t="s">
        <x:v>78</x:v>
      </x:c>
      <x:c r="B6" s="7" t="s">
        <x:v>79</x:v>
      </x:c>
      <x:c r="C6" s="7" t="n">
        <x:v>6.75</x:v>
      </x:c>
      <x:c r="D6" s="7" t="n">
        <x:v>14.88</x:v>
      </x:c>
    </x:row>
    <x:row r="7" ht="15" hidden="0">
      <x:c r="A7" s="7" t="s">
        <x:v>78</x:v>
      </x:c>
      <x:c r="B7" s="7" t="s">
        <x:v>80</x:v>
      </x:c>
      <x:c r="C7" s="7" t="n">
        <x:v>3.25</x:v>
      </x:c>
      <x:c r="D7" s="7" t="n">
        <x:v>7.17</x:v>
      </x:c>
    </x:row>
    <x:row r="8" ht="15" hidden="0">
      <x:c r="A8" s="7" t="s">
        <x:v>78</x:v>
      </x:c>
      <x:c r="B8" s="7" t="s">
        <x:v>81</x:v>
      </x:c>
      <x:c r="C8" s="7" t="n">
        <x:v>3.7</x:v>
      </x:c>
      <x:c r="D8" s="7" t="n">
        <x:v>8.16</x:v>
      </x:c>
    </x:row>
    <x:row r="9" ht="15" hidden="0">
      <x:c r="A9" s="7" t="s">
        <x:v>78</x:v>
      </x:c>
      <x:c r="B9" s="7" t="s">
        <x:v>82</x:v>
      </x:c>
      <x:c r="C9" s="7" t="n">
        <x:v>3.8</x:v>
      </x:c>
      <x:c r="D9" s="7" t="n">
        <x:v>8.38</x:v>
      </x:c>
    </x:row>
    <x:row r="10" ht="15" hidden="0">
      <x:c r="A10" s="7" t="s">
        <x:v>78</x:v>
      </x:c>
      <x:c r="B10" s="7" t="s">
        <x:v>83</x:v>
      </x:c>
      <x:c r="C10" s="7" t="n">
        <x:v>3.8</x:v>
      </x:c>
      <x:c r="D10" s="7" t="n">
        <x:v>8.38</x:v>
      </x:c>
    </x:row>
    <x:row r="11" ht="15" hidden="0">
      <x:c r="A11" s="7" t="s">
        <x:v>78</x:v>
      </x:c>
      <x:c r="B11" s="7" t="s">
        <x:v>84</x:v>
      </x:c>
      <x:c r="C11" s="7" t="n">
        <x:v>3.5</x:v>
      </x:c>
      <x:c r="D11" s="7" t="n">
        <x:v>7.72</x:v>
      </x:c>
    </x:row>
    <x:row r="12" ht="15" hidden="0">
      <x:c r="A12" s="7" t="s">
        <x:v>78</x:v>
      </x:c>
      <x:c r="B12" s="7" t="s">
        <x:v>85</x:v>
      </x:c>
      <x:c r="C12" s="7" t="n">
        <x:v>2.5</x:v>
      </x:c>
      <x:c r="D12" s="7" t="n">
        <x:v>5.51</x:v>
      </x:c>
    </x:row>
  </x:sheetData>
  <x:pageMargins left="0.7" right="0.7" top="0.75" bottom="0.75" header="0.3" footer="0.3"/>
</x:worksheet>
</file>

<file path=xl/worksheets/sheet3.xml><?xml version="1.0" encoding="utf-8"?>
<x:worksheet xmlns:x="http://schemas.openxmlformats.org/spreadsheetml/2006/main">
  <x:sheetPr>
    <x:tabColor rgb="FF808080"/>
  </x:sheetPr>
  <x:sheetViews>
    <x:sheetView showGridLines="0" workbookViewId="0"/>
  </x:sheetViews>
  <x:sheetFormatPr defaultColWidth="8.6796875" defaultRowHeight="15"/>
  <x:sheetData>
    <x:row r="6" ht="15" hidden="0">
      <x:c r="B6" s="7" t="s">
        <x:v>86</x:v>
      </x:c>
      <x:c r="C6" s="7" t="s">
        <x:v>87</x:v>
      </x:c>
      <x:c r="D6" s="7" t="s">
        <x:v>88</x:v>
      </x:c>
      <x:c r="E6" s="7" t="s">
        <x:v>89</x:v>
      </x:c>
      <x:c r="F6" s="7" t="s">
        <x:v>90</x:v>
      </x:c>
      <x:c r="G6" s="7" t="s">
        <x:v>91</x:v>
      </x:c>
      <x:c r="H6" s="7" t="s">
        <x:v>92</x:v>
      </x:c>
      <x:c r="I6" s="7" t="s">
        <x:v>93</x:v>
      </x:c>
      <x:c r="J6" s="7" t="s">
        <x:v>94</x:v>
      </x:c>
      <x:c r="K6" s="7" t="s">
        <x:v>95</x:v>
      </x:c>
    </x:row>
    <x:row r="7" ht="15" hidden="0">
      <x:c r="B7" s="8" t="n">
        <x:v>45624</x:v>
      </x:c>
      <x:c r="C7" s="7" t="s">
        <x:v>96</x:v>
      </x:c>
      <x:c r="D7" s="7" t="s">
        <x:v>97</x:v>
      </x:c>
      <x:c r="E7" s="7" t="s">
        <x:v>98</x:v>
      </x:c>
      <x:c r="F7" s="7" t="s">
        <x:v>99</x:v>
      </x:c>
      <x:c r="G7" s="7" t="n">
        <x:v>279</x:v>
      </x:c>
      <x:c r="I7" s="7" t="n">
        <x:v>5</x:v>
      </x:c>
      <x:c r="J7" s="7" t="s">
        <x:v>100</x:v>
      </x:c>
      <x:c r="K7" s="7" t="s">
        <x:v>101</x:v>
      </x:c>
    </x:row>
    <x:row r="8" ht="15" hidden="0">
      <x:c r="B8" s="8" t="n">
        <x:v>45624</x:v>
      </x:c>
      <x:c r="C8" s="7" t="s">
        <x:v>96</x:v>
      </x:c>
      <x:c r="D8" s="7" t="s">
        <x:v>97</x:v>
      </x:c>
      <x:c r="E8" s="7" t="s">
        <x:v>98</x:v>
      </x:c>
      <x:c r="F8" s="7" t="s">
        <x:v>99</x:v>
      </x:c>
      <x:c r="G8" s="7" t="n">
        <x:v>322</x:v>
      </x:c>
      <x:c r="I8" s="7" t="n">
        <x:v>6</x:v>
      </x:c>
      <x:c r="J8" s="7" t="s">
        <x:v>100</x:v>
      </x:c>
      <x:c r="K8" s="7" t="s">
        <x:v>102</x:v>
      </x:c>
    </x:row>
    <x:row r="9" ht="15" hidden="0">
      <x:c r="B9" s="8" t="n">
        <x:v>45624</x:v>
      </x:c>
      <x:c r="C9" s="7" t="s">
        <x:v>96</x:v>
      </x:c>
      <x:c r="D9" s="7" t="s">
        <x:v>97</x:v>
      </x:c>
      <x:c r="E9" s="7" t="s">
        <x:v>98</x:v>
      </x:c>
      <x:c r="F9" s="7" t="s">
        <x:v>99</x:v>
      </x:c>
      <x:c r="G9" s="7" t="n">
        <x:v>20</x:v>
      </x:c>
      <x:c r="I9" s="7" t="n">
        <x:v>1</x:v>
      </x:c>
      <x:c r="J9" s="7" t="s">
        <x:v>103</x:v>
      </x:c>
      <x:c r="K9" s="7" t="s">
        <x:v>102</x:v>
      </x:c>
    </x:row>
    <x:row r="10" ht="15" hidden="0">
      <x:c r="B10" s="8" t="n">
        <x:v>45624</x:v>
      </x:c>
      <x:c r="C10" s="7" t="s">
        <x:v>96</x:v>
      </x:c>
      <x:c r="D10" s="7" t="s">
        <x:v>97</x:v>
      </x:c>
      <x:c r="E10" s="7" t="s">
        <x:v>98</x:v>
      </x:c>
      <x:c r="F10" s="7" t="s">
        <x:v>99</x:v>
      </x:c>
      <x:c r="G10" s="7" t="n">
        <x:v>17</x:v>
      </x:c>
      <x:c r="I10" s="7" t="n">
        <x:v>1</x:v>
      </x:c>
      <x:c r="J10" s="7" t="s">
        <x:v>104</x:v>
      </x:c>
      <x:c r="K10" s="7" t="s">
        <x:v>102</x:v>
      </x:c>
      <x:c r="M10" s="7" t="s">
        <x:v>105</x:v>
      </x:c>
      <x:c r="N10" s="7" t="s">
        <x:v>104</x:v>
      </x:c>
      <x:c r="O10" s="7" t="s">
        <x:v>103</x:v>
      </x:c>
      <x:c r="P10" s="7" t="s">
        <x:v>100</x:v>
      </x:c>
      <x:c r="Q10" s="7" t="s">
        <x:v>106</x:v>
      </x:c>
    </x:row>
    <x:row r="11" ht="15" hidden="0">
      <x:c r="B11" s="8" t="n">
        <x:v>45626</x:v>
      </x:c>
      <x:c r="C11" s="7" t="s">
        <x:v>107</x:v>
      </x:c>
      <x:c r="D11" s="7" t="s">
        <x:v>108</x:v>
      </x:c>
      <x:c r="E11" s="7" t="s">
        <x:v>109</x:v>
      </x:c>
      <x:c r="F11" s="7" t="s">
        <x:v>99</x:v>
      </x:c>
      <x:c r="G11" s="7" t="n">
        <x:v>128</x:v>
      </x:c>
      <x:c r="I11" s="7" t="n">
        <x:v>3</x:v>
      </x:c>
      <x:c r="J11" s="7" t="s">
        <x:v>100</x:v>
      </x:c>
      <x:c r="K11" s="7" t="s">
        <x:v>101</x:v>
      </x:c>
      <x:c r="M11" s="7" t="s">
        <x:v>101</x:v>
      </x:c>
      <x:c r="N11" s="7" t="n">
        <x:v>0</x:v>
      </x:c>
      <x:c r="O11" s="7" t="n">
        <x:v>0</x:v>
      </x:c>
      <x:c r="P11" s="7" t="n">
        <x:v>4550</x:v>
      </x:c>
      <x:c r="Q11" s="7" t="n">
        <x:v>4550</x:v>
      </x:c>
    </x:row>
    <x:row r="12" ht="15" hidden="0">
      <x:c r="B12" s="8" t="n">
        <x:v>45626</x:v>
      </x:c>
      <x:c r="C12" s="7" t="s">
        <x:v>107</x:v>
      </x:c>
      <x:c r="D12" s="7" t="s">
        <x:v>108</x:v>
      </x:c>
      <x:c r="E12" s="7" t="s">
        <x:v>109</x:v>
      </x:c>
      <x:c r="F12" s="7" t="s">
        <x:v>99</x:v>
      </x:c>
      <x:c r="G12" s="7" t="n">
        <x:v>538</x:v>
      </x:c>
      <x:c r="I12" s="7" t="n">
        <x:v>13</x:v>
      </x:c>
      <x:c r="J12" s="7" t="s">
        <x:v>100</x:v>
      </x:c>
      <x:c r="K12" s="7" t="s">
        <x:v>102</x:v>
      </x:c>
      <x:c r="M12" s="7" t="s">
        <x:v>102</x:v>
      </x:c>
      <x:c r="N12" s="7" t="n">
        <x:v>1883</x:v>
      </x:c>
      <x:c r="O12" s="7" t="n">
        <x:v>6089</x:v>
      </x:c>
      <x:c r="P12" s="7" t="n">
        <x:v>41377</x:v>
      </x:c>
      <x:c r="Q12" s="7" t="n">
        <x:v>49349</x:v>
      </x:c>
    </x:row>
    <x:row r="13" ht="15" hidden="0">
      <x:c r="B13" s="8" t="n">
        <x:v>45626</x:v>
      </x:c>
      <x:c r="C13" s="7" t="s">
        <x:v>107</x:v>
      </x:c>
      <x:c r="D13" s="7" t="s">
        <x:v>108</x:v>
      </x:c>
      <x:c r="E13" s="7" t="s">
        <x:v>109</x:v>
      </x:c>
      <x:c r="F13" s="7" t="s">
        <x:v>99</x:v>
      </x:c>
      <x:c r="G13" s="7" t="n">
        <x:v>94</x:v>
      </x:c>
      <x:c r="I13" s="7" t="n">
        <x:v>4</x:v>
      </x:c>
      <x:c r="J13" s="7" t="s">
        <x:v>103</x:v>
      </x:c>
      <x:c r="K13" s="7" t="s">
        <x:v>102</x:v>
      </x:c>
      <x:c r="M13" s="7" t="s">
        <x:v>106</x:v>
      </x:c>
      <x:c r="N13" s="7" t="n">
        <x:v>1883</x:v>
      </x:c>
      <x:c r="O13" s="7" t="n">
        <x:v>6089</x:v>
      </x:c>
      <x:c r="P13" s="7" t="n">
        <x:v>45927</x:v>
      </x:c>
      <x:c r="Q13" s="7" t="n">
        <x:v>53899</x:v>
      </x:c>
    </x:row>
    <x:row r="14" ht="15" hidden="0">
      <x:c r="B14" s="8" t="n">
        <x:v>45626</x:v>
      </x:c>
      <x:c r="C14" s="7" t="s">
        <x:v>107</x:v>
      </x:c>
      <x:c r="D14" s="7" t="s">
        <x:v>108</x:v>
      </x:c>
      <x:c r="E14" s="7" t="s">
        <x:v>109</x:v>
      </x:c>
      <x:c r="F14" s="7" t="s">
        <x:v>99</x:v>
      </x:c>
      <x:c r="G14" s="7" t="n">
        <x:v>51</x:v>
      </x:c>
      <x:c r="I14" s="7" t="n">
        <x:v>3</x:v>
      </x:c>
      <x:c r="J14" s="7" t="s">
        <x:v>104</x:v>
      </x:c>
      <x:c r="K14" s="7" t="s">
        <x:v>102</x:v>
      </x:c>
    </x:row>
    <x:row r="15" ht="15" hidden="0">
      <x:c r="B15" s="8" t="n">
        <x:v>45626</x:v>
      </x:c>
      <x:c r="C15" s="7" t="s">
        <x:v>110</x:v>
      </x:c>
      <x:c r="D15" s="7" t="s">
        <x:v>111</x:v>
      </x:c>
      <x:c r="E15" s="7" t="s">
        <x:v>112</x:v>
      </x:c>
      <x:c r="F15" s="7" t="s">
        <x:v>99</x:v>
      </x:c>
      <x:c r="G15" s="7" t="n">
        <x:v>619</x:v>
      </x:c>
      <x:c r="I15" s="7" t="n">
        <x:v>13</x:v>
      </x:c>
      <x:c r="J15" s="7" t="s">
        <x:v>100</x:v>
      </x:c>
      <x:c r="K15" s="7" t="s">
        <x:v>101</x:v>
      </x:c>
      <x:c r="M15" s="7" t="s">
        <x:v>101</x:v>
      </x:c>
      <x:c r="N15" s="7" t="n">
        <x:v>0.0844</x:v>
      </x:c>
    </x:row>
    <x:row r="16" ht="15" hidden="0">
      <x:c r="B16" s="8" t="n">
        <x:v>45626</x:v>
      </x:c>
      <x:c r="C16" s="7" t="s">
        <x:v>110</x:v>
      </x:c>
      <x:c r="D16" s="7" t="s">
        <x:v>111</x:v>
      </x:c>
      <x:c r="E16" s="7" t="s">
        <x:v>112</x:v>
      </x:c>
      <x:c r="F16" s="7" t="s">
        <x:v>99</x:v>
      </x:c>
      <x:c r="G16" s="7" t="n">
        <x:v>199</x:v>
      </x:c>
      <x:c r="I16" s="7" t="n">
        <x:v>9</x:v>
      </x:c>
      <x:c r="J16" s="7" t="s">
        <x:v>103</x:v>
      </x:c>
      <x:c r="K16" s="7" t="s">
        <x:v>102</x:v>
      </x:c>
      <x:c r="M16" s="7" t="s">
        <x:v>102</x:v>
      </x:c>
      <x:c r="N16" s="7" t="n">
        <x:v>0.9156</x:v>
      </x:c>
    </x:row>
    <x:row r="17" ht="15" hidden="0">
      <x:c r="B17" s="8" t="n">
        <x:v>45626</x:v>
      </x:c>
      <x:c r="C17" s="7" t="s">
        <x:v>110</x:v>
      </x:c>
      <x:c r="D17" s="7" t="s">
        <x:v>111</x:v>
      </x:c>
      <x:c r="E17" s="7" t="s">
        <x:v>112</x:v>
      </x:c>
      <x:c r="F17" s="7" t="s">
        <x:v>99</x:v>
      </x:c>
      <x:c r="G17" s="7" t="n">
        <x:v>96</x:v>
      </x:c>
      <x:c r="I17" s="7" t="n">
        <x:v>6</x:v>
      </x:c>
      <x:c r="J17" s="7" t="s">
        <x:v>104</x:v>
      </x:c>
      <x:c r="K17" s="7" t="s">
        <x:v>102</x:v>
      </x:c>
    </x:row>
    <x:row r="18" ht="15" hidden="0">
      <x:c r="B18" s="8" t="n">
        <x:v>45626</x:v>
      </x:c>
      <x:c r="C18" s="7" t="s">
        <x:v>113</x:v>
      </x:c>
      <x:c r="D18" s="7" t="s">
        <x:v>114</x:v>
      </x:c>
      <x:c r="E18" s="7" t="s">
        <x:v>115</x:v>
      </x:c>
      <x:c r="F18" s="7" t="s">
        <x:v>99</x:v>
      </x:c>
      <x:c r="G18" s="7" t="n">
        <x:v>321</x:v>
      </x:c>
      <x:c r="I18" s="7" t="n">
        <x:v>6</x:v>
      </x:c>
      <x:c r="J18" s="7" t="s">
        <x:v>100</x:v>
      </x:c>
      <x:c r="K18" s="7" t="s">
        <x:v>101</x:v>
      </x:c>
      <x:c r="M18" s="7" t="s">
        <x:v>104</x:v>
      </x:c>
      <x:c r="N18" s="7" t="n">
        <x:v>0.0349</x:v>
      </x:c>
    </x:row>
    <x:row r="19" ht="15" hidden="0">
      <x:c r="B19" s="8" t="n">
        <x:v>45626</x:v>
      </x:c>
      <x:c r="C19" s="7" t="s">
        <x:v>113</x:v>
      </x:c>
      <x:c r="D19" s="7" t="s">
        <x:v>114</x:v>
      </x:c>
      <x:c r="E19" s="7" t="s">
        <x:v>115</x:v>
      </x:c>
      <x:c r="F19" s="7" t="s">
        <x:v>99</x:v>
      </x:c>
      <x:c r="G19" s="7" t="n">
        <x:v>641</x:v>
      </x:c>
      <x:c r="I19" s="7" t="n">
        <x:v>13</x:v>
      </x:c>
      <x:c r="J19" s="7" t="s">
        <x:v>100</x:v>
      </x:c>
      <x:c r="K19" s="7" t="s">
        <x:v>102</x:v>
      </x:c>
      <x:c r="M19" s="7" t="s">
        <x:v>103</x:v>
      </x:c>
      <x:c r="N19" s="7" t="n">
        <x:v>0.113</x:v>
      </x:c>
    </x:row>
    <x:row r="20" ht="15" hidden="0">
      <x:c r="B20" s="8" t="n">
        <x:v>45626</x:v>
      </x:c>
      <x:c r="C20" s="7" t="s">
        <x:v>113</x:v>
      </x:c>
      <x:c r="D20" s="7" t="s">
        <x:v>114</x:v>
      </x:c>
      <x:c r="E20" s="7" t="s">
        <x:v>115</x:v>
      </x:c>
      <x:c r="F20" s="7" t="s">
        <x:v>99</x:v>
      </x:c>
      <x:c r="G20" s="7" t="n">
        <x:v>76</x:v>
      </x:c>
      <x:c r="I20" s="7" t="n">
        <x:v>3</x:v>
      </x:c>
      <x:c r="J20" s="7" t="s">
        <x:v>103</x:v>
      </x:c>
      <x:c r="K20" s="7" t="s">
        <x:v>102</x:v>
      </x:c>
      <x:c r="M20" s="7" t="s">
        <x:v>100</x:v>
      </x:c>
      <x:c r="N20" s="7" t="n">
        <x:v>0.8521</x:v>
      </x:c>
    </x:row>
    <x:row r="21" ht="15" hidden="0">
      <x:c r="B21" s="8" t="n">
        <x:v>45626</x:v>
      </x:c>
      <x:c r="C21" s="7" t="s">
        <x:v>113</x:v>
      </x:c>
      <x:c r="D21" s="7" t="s">
        <x:v>114</x:v>
      </x:c>
      <x:c r="E21" s="7" t="s">
        <x:v>115</x:v>
      </x:c>
      <x:c r="F21" s="7" t="s">
        <x:v>99</x:v>
      </x:c>
      <x:c r="G21" s="7" t="n">
        <x:v>52</x:v>
      </x:c>
      <x:c r="I21" s="7" t="n">
        <x:v>3</x:v>
      </x:c>
      <x:c r="J21" s="7" t="s">
        <x:v>104</x:v>
      </x:c>
      <x:c r="K21" s="7" t="s">
        <x:v>102</x:v>
      </x:c>
    </x:row>
    <x:row r="22" ht="15" hidden="0">
      <x:c r="B22" s="8" t="n">
        <x:v>45626</x:v>
      </x:c>
      <x:c r="C22" s="7" t="s">
        <x:v>116</x:v>
      </x:c>
      <x:c r="D22" s="7" t="s">
        <x:v>117</x:v>
      </x:c>
      <x:c r="E22" s="7" t="s">
        <x:v>118</x:v>
      </x:c>
      <x:c r="F22" s="7" t="s">
        <x:v>99</x:v>
      </x:c>
      <x:c r="G22" s="7" t="n">
        <x:v>210</x:v>
      </x:c>
      <x:c r="I22" s="7" t="n">
        <x:v>5</x:v>
      </x:c>
      <x:c r="J22" s="7" t="s">
        <x:v>100</x:v>
      </x:c>
      <x:c r="K22" s="7" t="s">
        <x:v>102</x:v>
      </x:c>
      <x:c r="M22" s="7" t="s">
        <x:v>119</x:v>
      </x:c>
      <x:c r="N22" s="7" t="n">
        <x:v>1314</x:v>
      </x:c>
    </x:row>
    <x:row r="23" ht="15" hidden="0">
      <x:c r="B23" s="8" t="n">
        <x:v>45626</x:v>
      </x:c>
      <x:c r="C23" s="7" t="s">
        <x:v>116</x:v>
      </x:c>
      <x:c r="D23" s="7" t="s">
        <x:v>117</x:v>
      </x:c>
      <x:c r="E23" s="7" t="s">
        <x:v>118</x:v>
      </x:c>
      <x:c r="F23" s="7" t="s">
        <x:v>99</x:v>
      </x:c>
      <x:c r="G23" s="7" t="n">
        <x:v>15</x:v>
      </x:c>
      <x:c r="I23" s="7" t="n">
        <x:v>1</x:v>
      </x:c>
      <x:c r="J23" s="7" t="s">
        <x:v>103</x:v>
      </x:c>
      <x:c r="K23" s="7" t="s">
        <x:v>102</x:v>
      </x:c>
    </x:row>
    <x:row r="24" ht="15" hidden="0">
      <x:c r="B24" s="8" t="n">
        <x:v>45627</x:v>
      </x:c>
      <x:c r="C24" s="7" t="s">
        <x:v>120</x:v>
      </x:c>
      <x:c r="D24" s="7" t="s">
        <x:v>121</x:v>
      </x:c>
      <x:c r="E24" s="7" t="s">
        <x:v>122</x:v>
      </x:c>
      <x:c r="F24" s="7" t="s">
        <x:v>99</x:v>
      </x:c>
      <x:c r="G24" s="7" t="n">
        <x:v>37</x:v>
      </x:c>
      <x:c r="I24" s="7" t="n">
        <x:v>1</x:v>
      </x:c>
      <x:c r="J24" s="7" t="s">
        <x:v>100</x:v>
      </x:c>
      <x:c r="K24" s="7" t="s">
        <x:v>101</x:v>
      </x:c>
    </x:row>
    <x:row r="25" ht="15" hidden="0">
      <x:c r="B25" s="8" t="n">
        <x:v>45627</x:v>
      </x:c>
      <x:c r="C25" s="7" t="s">
        <x:v>120</x:v>
      </x:c>
      <x:c r="D25" s="7" t="s">
        <x:v>121</x:v>
      </x:c>
      <x:c r="E25" s="7" t="s">
        <x:v>122</x:v>
      </x:c>
      <x:c r="F25" s="7" t="s">
        <x:v>99</x:v>
      </x:c>
      <x:c r="G25" s="7" t="n">
        <x:v>79</x:v>
      </x:c>
      <x:c r="I25" s="7" t="n">
        <x:v>2</x:v>
      </x:c>
      <x:c r="J25" s="7" t="s">
        <x:v>100</x:v>
      </x:c>
      <x:c r="K25" s="7" t="s">
        <x:v>102</x:v>
      </x:c>
    </x:row>
    <x:row r="26" ht="15" hidden="0">
      <x:c r="B26" s="8" t="n">
        <x:v>45627</x:v>
      </x:c>
      <x:c r="C26" s="7" t="s">
        <x:v>120</x:v>
      </x:c>
      <x:c r="D26" s="7" t="s">
        <x:v>121</x:v>
      </x:c>
      <x:c r="E26" s="7" t="s">
        <x:v>122</x:v>
      </x:c>
      <x:c r="F26" s="7" t="s">
        <x:v>99</x:v>
      </x:c>
      <x:c r="G26" s="7" t="n">
        <x:v>28</x:v>
      </x:c>
      <x:c r="I26" s="7" t="n">
        <x:v>1</x:v>
      </x:c>
      <x:c r="J26" s="7" t="s">
        <x:v>103</x:v>
      </x:c>
      <x:c r="K26" s="7" t="s">
        <x:v>102</x:v>
      </x:c>
    </x:row>
    <x:row r="27" ht="15" hidden="0">
      <x:c r="B27" s="8" t="n">
        <x:v>45628</x:v>
      </x:c>
      <x:c r="C27" s="7" t="s">
        <x:v>123</x:v>
      </x:c>
      <x:c r="D27" s="7" t="s">
        <x:v>124</x:v>
      </x:c>
      <x:c r="E27" s="7" t="s">
        <x:v>125</x:v>
      </x:c>
      <x:c r="F27" s="7" t="s">
        <x:v>99</x:v>
      </x:c>
      <x:c r="G27" s="7" t="n">
        <x:v>448</x:v>
      </x:c>
      <x:c r="I27" s="7" t="n">
        <x:v>10</x:v>
      </x:c>
      <x:c r="J27" s="7" t="s">
        <x:v>100</x:v>
      </x:c>
      <x:c r="K27" s="7" t="s">
        <x:v>102</x:v>
      </x:c>
    </x:row>
    <x:row r="28" ht="15" hidden="0">
      <x:c r="B28" s="8" t="n">
        <x:v>45628</x:v>
      </x:c>
      <x:c r="C28" s="7" t="s">
        <x:v>126</x:v>
      </x:c>
      <x:c r="D28" s="7" t="s">
        <x:v>127</x:v>
      </x:c>
      <x:c r="E28" s="7" t="s">
        <x:v>128</x:v>
      </x:c>
      <x:c r="F28" s="7" t="s">
        <x:v>99</x:v>
      </x:c>
      <x:c r="G28" s="7" t="n">
        <x:v>63</x:v>
      </x:c>
      <x:c r="I28" s="7" t="n">
        <x:v>1</x:v>
      </x:c>
      <x:c r="J28" s="7" t="s">
        <x:v>100</x:v>
      </x:c>
      <x:c r="K28" s="7" t="s">
        <x:v>101</x:v>
      </x:c>
    </x:row>
    <x:row r="29" ht="15" hidden="0">
      <x:c r="B29" s="8" t="n">
        <x:v>45628</x:v>
      </x:c>
      <x:c r="C29" s="7" t="s">
        <x:v>126</x:v>
      </x:c>
      <x:c r="D29" s="7" t="s">
        <x:v>127</x:v>
      </x:c>
      <x:c r="E29" s="7" t="s">
        <x:v>128</x:v>
      </x:c>
      <x:c r="F29" s="7" t="s">
        <x:v>99</x:v>
      </x:c>
      <x:c r="G29" s="7" t="n">
        <x:v>519</x:v>
      </x:c>
      <x:c r="I29" s="7" t="n">
        <x:v>10</x:v>
      </x:c>
      <x:c r="J29" s="7" t="s">
        <x:v>100</x:v>
      </x:c>
      <x:c r="K29" s="7" t="s">
        <x:v>102</x:v>
      </x:c>
    </x:row>
    <x:row r="30" ht="15" hidden="0">
      <x:c r="B30" s="8" t="n">
        <x:v>45628</x:v>
      </x:c>
      <x:c r="C30" s="7" t="s">
        <x:v>126</x:v>
      </x:c>
      <x:c r="D30" s="7" t="s">
        <x:v>127</x:v>
      </x:c>
      <x:c r="E30" s="7" t="s">
        <x:v>128</x:v>
      </x:c>
      <x:c r="F30" s="7" t="s">
        <x:v>99</x:v>
      </x:c>
      <x:c r="G30" s="7" t="n">
        <x:v>105</x:v>
      </x:c>
      <x:c r="I30" s="7" t="n">
        <x:v>5</x:v>
      </x:c>
      <x:c r="J30" s="7" t="s">
        <x:v>103</x:v>
      </x:c>
      <x:c r="K30" s="7" t="s">
        <x:v>102</x:v>
      </x:c>
    </x:row>
    <x:row r="31" ht="15" hidden="0">
      <x:c r="B31" s="8" t="n">
        <x:v>45628</x:v>
      </x:c>
      <x:c r="C31" s="7" t="s">
        <x:v>126</x:v>
      </x:c>
      <x:c r="D31" s="7" t="s">
        <x:v>127</x:v>
      </x:c>
      <x:c r="E31" s="7" t="s">
        <x:v>128</x:v>
      </x:c>
      <x:c r="F31" s="7" t="s">
        <x:v>99</x:v>
      </x:c>
      <x:c r="G31" s="7" t="n">
        <x:v>29</x:v>
      </x:c>
      <x:c r="I31" s="7" t="n">
        <x:v>2</x:v>
      </x:c>
      <x:c r="J31" s="7" t="s">
        <x:v>104</x:v>
      </x:c>
      <x:c r="K31" s="7" t="s">
        <x:v>102</x:v>
      </x:c>
    </x:row>
    <x:row r="32" ht="15" hidden="0">
      <x:c r="B32" s="8" t="n">
        <x:v>45628</x:v>
      </x:c>
      <x:c r="C32" s="7" t="s">
        <x:v>129</x:v>
      </x:c>
      <x:c r="D32" s="7" t="s">
        <x:v>130</x:v>
      </x:c>
      <x:c r="E32" s="7" t="s">
        <x:v>131</x:v>
      </x:c>
      <x:c r="F32" s="7" t="s">
        <x:v>99</x:v>
      </x:c>
      <x:c r="G32" s="7" t="n">
        <x:v>98</x:v>
      </x:c>
      <x:c r="I32" s="7" t="n">
        <x:v>2</x:v>
      </x:c>
      <x:c r="J32" s="7" t="s">
        <x:v>100</x:v>
      </x:c>
      <x:c r="K32" s="7" t="s">
        <x:v>101</x:v>
      </x:c>
    </x:row>
    <x:row r="33" ht="15" hidden="0">
      <x:c r="B33" s="8" t="n">
        <x:v>45628</x:v>
      </x:c>
      <x:c r="C33" s="7" t="s">
        <x:v>129</x:v>
      </x:c>
      <x:c r="D33" s="7" t="s">
        <x:v>130</x:v>
      </x:c>
      <x:c r="E33" s="7" t="s">
        <x:v>131</x:v>
      </x:c>
      <x:c r="F33" s="7" t="s">
        <x:v>99</x:v>
      </x:c>
      <x:c r="G33" s="7" t="n">
        <x:v>245</x:v>
      </x:c>
      <x:c r="I33" s="7" t="n">
        <x:v>5</x:v>
      </x:c>
      <x:c r="J33" s="7" t="s">
        <x:v>100</x:v>
      </x:c>
      <x:c r="K33" s="7" t="s">
        <x:v>102</x:v>
      </x:c>
    </x:row>
    <x:row r="34" ht="15" hidden="0">
      <x:c r="B34" s="8" t="n">
        <x:v>45628</x:v>
      </x:c>
      <x:c r="C34" s="7" t="s">
        <x:v>129</x:v>
      </x:c>
      <x:c r="D34" s="7" t="s">
        <x:v>130</x:v>
      </x:c>
      <x:c r="E34" s="7" t="s">
        <x:v>131</x:v>
      </x:c>
      <x:c r="F34" s="7" t="s">
        <x:v>99</x:v>
      </x:c>
      <x:c r="G34" s="7" t="n">
        <x:v>87</x:v>
      </x:c>
      <x:c r="I34" s="7" t="n">
        <x:v>1</x:v>
      </x:c>
      <x:c r="J34" s="7" t="s">
        <x:v>103</x:v>
      </x:c>
      <x:c r="K34" s="7" t="s">
        <x:v>102</x:v>
      </x:c>
    </x:row>
    <x:row r="35" ht="15" hidden="0">
      <x:c r="B35" s="8" t="n">
        <x:v>45628</x:v>
      </x:c>
      <x:c r="C35" s="7" t="s">
        <x:v>129</x:v>
      </x:c>
      <x:c r="D35" s="7" t="s">
        <x:v>130</x:v>
      </x:c>
      <x:c r="E35" s="7" t="s">
        <x:v>131</x:v>
      </x:c>
      <x:c r="F35" s="7" t="s">
        <x:v>99</x:v>
      </x:c>
      <x:c r="G35" s="7" t="n">
        <x:v>87</x:v>
      </x:c>
      <x:c r="I35" s="7" t="n">
        <x:v>5</x:v>
      </x:c>
      <x:c r="J35" s="7" t="s">
        <x:v>104</x:v>
      </x:c>
      <x:c r="K35" s="7" t="s">
        <x:v>102</x:v>
      </x:c>
    </x:row>
    <x:row r="36" ht="15" hidden="0">
      <x:c r="B36" s="8" t="n">
        <x:v>45628</x:v>
      </x:c>
      <x:c r="C36" s="7" t="s">
        <x:v>132</x:v>
      </x:c>
      <x:c r="D36" s="7" t="s">
        <x:v>133</x:v>
      </x:c>
      <x:c r="E36" s="7" t="s">
        <x:v>134</x:v>
      </x:c>
      <x:c r="F36" s="7" t="s">
        <x:v>99</x:v>
      </x:c>
      <x:c r="G36" s="7" t="n">
        <x:v>49</x:v>
      </x:c>
      <x:c r="I36" s="7" t="n">
        <x:v>1</x:v>
      </x:c>
      <x:c r="J36" s="7" t="s">
        <x:v>100</x:v>
      </x:c>
      <x:c r="K36" s="7" t="s">
        <x:v>101</x:v>
      </x:c>
    </x:row>
    <x:row r="37" ht="15" hidden="0">
      <x:c r="B37" s="8" t="n">
        <x:v>45628</x:v>
      </x:c>
      <x:c r="C37" s="7" t="s">
        <x:v>132</x:v>
      </x:c>
      <x:c r="D37" s="7" t="s">
        <x:v>133</x:v>
      </x:c>
      <x:c r="E37" s="7" t="s">
        <x:v>134</x:v>
      </x:c>
      <x:c r="F37" s="7" t="s">
        <x:v>99</x:v>
      </x:c>
      <x:c r="G37" s="7" t="n">
        <x:v>312</x:v>
      </x:c>
      <x:c r="I37" s="7" t="n">
        <x:v>7</x:v>
      </x:c>
      <x:c r="J37" s="7" t="s">
        <x:v>100</x:v>
      </x:c>
      <x:c r="K37" s="7" t="s">
        <x:v>102</x:v>
      </x:c>
    </x:row>
    <x:row r="38" ht="15" hidden="0">
      <x:c r="B38" s="8" t="n">
        <x:v>45628</x:v>
      </x:c>
      <x:c r="C38" s="7" t="s">
        <x:v>132</x:v>
      </x:c>
      <x:c r="D38" s="7" t="s">
        <x:v>133</x:v>
      </x:c>
      <x:c r="E38" s="7" t="s">
        <x:v>134</x:v>
      </x:c>
      <x:c r="F38" s="7" t="s">
        <x:v>99</x:v>
      </x:c>
      <x:c r="G38" s="7" t="n">
        <x:v>119</x:v>
      </x:c>
      <x:c r="I38" s="7" t="n">
        <x:v>5</x:v>
      </x:c>
      <x:c r="J38" s="7" t="s">
        <x:v>103</x:v>
      </x:c>
      <x:c r="K38" s="7" t="s">
        <x:v>102</x:v>
      </x:c>
    </x:row>
    <x:row r="39" ht="15" hidden="0">
      <x:c r="B39" s="8" t="n">
        <x:v>45628</x:v>
      </x:c>
      <x:c r="C39" s="7" t="s">
        <x:v>132</x:v>
      </x:c>
      <x:c r="D39" s="7" t="s">
        <x:v>133</x:v>
      </x:c>
      <x:c r="E39" s="7" t="s">
        <x:v>134</x:v>
      </x:c>
      <x:c r="F39" s="7" t="s">
        <x:v>99</x:v>
      </x:c>
      <x:c r="G39" s="7" t="n">
        <x:v>33</x:v>
      </x:c>
      <x:c r="I39" s="7" t="n">
        <x:v>2</x:v>
      </x:c>
      <x:c r="J39" s="7" t="s">
        <x:v>104</x:v>
      </x:c>
      <x:c r="K39" s="7" t="s">
        <x:v>102</x:v>
      </x:c>
    </x:row>
    <x:row r="40" ht="15" hidden="0">
      <x:c r="B40" s="8" t="n">
        <x:v>45628</x:v>
      </x:c>
      <x:c r="C40" s="7" t="s">
        <x:v>135</x:v>
      </x:c>
      <x:c r="D40" s="7" t="s">
        <x:v>136</x:v>
      </x:c>
      <x:c r="E40" s="7" t="s">
        <x:v>137</x:v>
      </x:c>
      <x:c r="F40" s="7" t="s">
        <x:v>99</x:v>
      </x:c>
      <x:c r="G40" s="7" t="n">
        <x:v>67</x:v>
      </x:c>
      <x:c r="I40" s="7" t="n">
        <x:v>2</x:v>
      </x:c>
      <x:c r="J40" s="7" t="s">
        <x:v>100</x:v>
      </x:c>
      <x:c r="K40" s="7" t="s">
        <x:v>101</x:v>
      </x:c>
    </x:row>
    <x:row r="41" ht="15" hidden="0">
      <x:c r="B41" s="8" t="n">
        <x:v>45628</x:v>
      </x:c>
      <x:c r="C41" s="7" t="s">
        <x:v>135</x:v>
      </x:c>
      <x:c r="D41" s="7" t="s">
        <x:v>136</x:v>
      </x:c>
      <x:c r="E41" s="7" t="s">
        <x:v>137</x:v>
      </x:c>
      <x:c r="F41" s="7" t="s">
        <x:v>99</x:v>
      </x:c>
      <x:c r="G41" s="7" t="n">
        <x:v>23</x:v>
      </x:c>
      <x:c r="I41" s="7" t="n">
        <x:v>1</x:v>
      </x:c>
      <x:c r="J41" s="7" t="s">
        <x:v>103</x:v>
      </x:c>
      <x:c r="K41" s="7" t="s">
        <x:v>102</x:v>
      </x:c>
    </x:row>
    <x:row r="42" ht="15" hidden="0">
      <x:c r="B42" s="8" t="n">
        <x:v>45628</x:v>
      </x:c>
      <x:c r="C42" s="7" t="s">
        <x:v>135</x:v>
      </x:c>
      <x:c r="D42" s="7" t="s">
        <x:v>136</x:v>
      </x:c>
      <x:c r="E42" s="7" t="s">
        <x:v>137</x:v>
      </x:c>
      <x:c r="F42" s="7" t="s">
        <x:v>99</x:v>
      </x:c>
      <x:c r="G42" s="7" t="n">
        <x:v>131</x:v>
      </x:c>
      <x:c r="I42" s="7" t="n">
        <x:v>8</x:v>
      </x:c>
      <x:c r="J42" s="7" t="s">
        <x:v>104</x:v>
      </x:c>
      <x:c r="K42" s="7" t="s">
        <x:v>102</x:v>
      </x:c>
    </x:row>
    <x:row r="43" ht="15" hidden="0">
      <x:c r="B43" s="8" t="n">
        <x:v>45629</x:v>
      </x:c>
      <x:c r="C43" s="7" t="s">
        <x:v>138</x:v>
      </x:c>
      <x:c r="D43" s="7" t="s">
        <x:v>139</x:v>
      </x:c>
      <x:c r="E43" s="7" t="s">
        <x:v>140</x:v>
      </x:c>
      <x:c r="F43" s="7" t="s">
        <x:v>99</x:v>
      </x:c>
      <x:c r="G43" s="7" t="n">
        <x:v>187</x:v>
      </x:c>
      <x:c r="I43" s="7" t="n">
        <x:v>4</x:v>
      </x:c>
      <x:c r="J43" s="7" t="s">
        <x:v>100</x:v>
      </x:c>
      <x:c r="K43" s="7" t="s">
        <x:v>102</x:v>
      </x:c>
    </x:row>
    <x:row r="44" ht="15" hidden="0">
      <x:c r="B44" s="8" t="n">
        <x:v>45629</x:v>
      </x:c>
      <x:c r="C44" s="7" t="s">
        <x:v>138</x:v>
      </x:c>
      <x:c r="D44" s="7" t="s">
        <x:v>139</x:v>
      </x:c>
      <x:c r="E44" s="7" t="s">
        <x:v>140</x:v>
      </x:c>
      <x:c r="F44" s="7" t="s">
        <x:v>99</x:v>
      </x:c>
      <x:c r="G44" s="7" t="n">
        <x:v>92</x:v>
      </x:c>
      <x:c r="I44" s="7" t="n">
        <x:v>4</x:v>
      </x:c>
      <x:c r="J44" s="7" t="s">
        <x:v>103</x:v>
      </x:c>
      <x:c r="K44" s="7" t="s">
        <x:v>102</x:v>
      </x:c>
    </x:row>
    <x:row r="45" ht="15" hidden="0">
      <x:c r="B45" s="8" t="n">
        <x:v>45629</x:v>
      </x:c>
      <x:c r="C45" s="7" t="s">
        <x:v>138</x:v>
      </x:c>
      <x:c r="D45" s="7" t="s">
        <x:v>139</x:v>
      </x:c>
      <x:c r="E45" s="7" t="s">
        <x:v>140</x:v>
      </x:c>
      <x:c r="F45" s="7" t="s">
        <x:v>99</x:v>
      </x:c>
      <x:c r="G45" s="7" t="n">
        <x:v>103</x:v>
      </x:c>
      <x:c r="I45" s="7" t="n">
        <x:v>6</x:v>
      </x:c>
      <x:c r="J45" s="7" t="s">
        <x:v>104</x:v>
      </x:c>
      <x:c r="K45" s="7" t="s">
        <x:v>102</x:v>
      </x:c>
    </x:row>
    <x:row r="46" ht="15" hidden="0">
      <x:c r="B46" s="8" t="n">
        <x:v>45630</x:v>
      </x:c>
      <x:c r="C46" s="7" t="s">
        <x:v>141</x:v>
      </x:c>
      <x:c r="D46" s="7" t="s">
        <x:v>142</x:v>
      </x:c>
      <x:c r="E46" s="7" t="s">
        <x:v>143</x:v>
      </x:c>
      <x:c r="F46" s="7" t="s">
        <x:v>99</x:v>
      </x:c>
      <x:c r="G46" s="7" t="n">
        <x:v>53</x:v>
      </x:c>
      <x:c r="I46" s="7" t="n">
        <x:v>1</x:v>
      </x:c>
      <x:c r="J46" s="7" t="s">
        <x:v>100</x:v>
      </x:c>
      <x:c r="K46" s="7" t="s">
        <x:v>101</x:v>
      </x:c>
    </x:row>
    <x:row r="47" ht="15" hidden="0">
      <x:c r="B47" s="8" t="n">
        <x:v>45630</x:v>
      </x:c>
      <x:c r="C47" s="7" t="s">
        <x:v>141</x:v>
      </x:c>
      <x:c r="D47" s="7" t="s">
        <x:v>142</x:v>
      </x:c>
      <x:c r="E47" s="7" t="s">
        <x:v>143</x:v>
      </x:c>
      <x:c r="F47" s="7" t="s">
        <x:v>99</x:v>
      </x:c>
      <x:c r="G47" s="7" t="n">
        <x:v>386</x:v>
      </x:c>
      <x:c r="I47" s="7" t="n">
        <x:v>8</x:v>
      </x:c>
      <x:c r="J47" s="7" t="s">
        <x:v>100</x:v>
      </x:c>
      <x:c r="K47" s="7" t="s">
        <x:v>102</x:v>
      </x:c>
    </x:row>
    <x:row r="48" ht="15" hidden="0">
      <x:c r="B48" s="8" t="n">
        <x:v>45630</x:v>
      </x:c>
      <x:c r="C48" s="7" t="s">
        <x:v>141</x:v>
      </x:c>
      <x:c r="D48" s="7" t="s">
        <x:v>142</x:v>
      </x:c>
      <x:c r="E48" s="7" t="s">
        <x:v>143</x:v>
      </x:c>
      <x:c r="F48" s="7" t="s">
        <x:v>99</x:v>
      </x:c>
      <x:c r="G48" s="7" t="n">
        <x:v>49</x:v>
      </x:c>
      <x:c r="I48" s="7" t="n">
        <x:v>2</x:v>
      </x:c>
      <x:c r="J48" s="7" t="s">
        <x:v>103</x:v>
      </x:c>
      <x:c r="K48" s="7" t="s">
        <x:v>102</x:v>
      </x:c>
    </x:row>
    <x:row r="49" ht="15" hidden="0">
      <x:c r="B49" s="8" t="n">
        <x:v>45630</x:v>
      </x:c>
      <x:c r="C49" s="7" t="s">
        <x:v>141</x:v>
      </x:c>
      <x:c r="D49" s="7" t="s">
        <x:v>142</x:v>
      </x:c>
      <x:c r="E49" s="7" t="s">
        <x:v>143</x:v>
      </x:c>
      <x:c r="F49" s="7" t="s">
        <x:v>99</x:v>
      </x:c>
      <x:c r="G49" s="7" t="n">
        <x:v>16</x:v>
      </x:c>
      <x:c r="I49" s="7" t="n">
        <x:v>1</x:v>
      </x:c>
      <x:c r="J49" s="7" t="s">
        <x:v>104</x:v>
      </x:c>
      <x:c r="K49" s="7" t="s">
        <x:v>102</x:v>
      </x:c>
    </x:row>
    <x:row r="50" ht="15" hidden="0">
      <x:c r="B50" s="8" t="n">
        <x:v>45631</x:v>
      </x:c>
      <x:c r="C50" s="7" t="s">
        <x:v>144</x:v>
      </x:c>
      <x:c r="D50" s="7" t="s">
        <x:v>145</x:v>
      </x:c>
      <x:c r="E50" s="7" t="s">
        <x:v>146</x:v>
      </x:c>
      <x:c r="F50" s="7" t="s">
        <x:v>99</x:v>
      </x:c>
      <x:c r="G50" s="7" t="n">
        <x:v>442</x:v>
      </x:c>
      <x:c r="I50" s="7" t="n">
        <x:v>10</x:v>
      </x:c>
      <x:c r="J50" s="7" t="s">
        <x:v>100</x:v>
      </x:c>
      <x:c r="K50" s="7" t="s">
        <x:v>102</x:v>
      </x:c>
    </x:row>
    <x:row r="51" ht="15" hidden="0">
      <x:c r="B51" s="8" t="n">
        <x:v>45631</x:v>
      </x:c>
      <x:c r="C51" s="7" t="s">
        <x:v>144</x:v>
      </x:c>
      <x:c r="D51" s="7" t="s">
        <x:v>145</x:v>
      </x:c>
      <x:c r="E51" s="7" t="s">
        <x:v>146</x:v>
      </x:c>
      <x:c r="F51" s="7" t="s">
        <x:v>99</x:v>
      </x:c>
      <x:c r="G51" s="7" t="n">
        <x:v>29</x:v>
      </x:c>
      <x:c r="I51" s="7" t="n">
        <x:v>1</x:v>
      </x:c>
      <x:c r="J51" s="7" t="s">
        <x:v>103</x:v>
      </x:c>
      <x:c r="K51" s="7" t="s">
        <x:v>102</x:v>
      </x:c>
    </x:row>
    <x:row r="52" ht="15" hidden="0">
      <x:c r="B52" s="8" t="n">
        <x:v>45631</x:v>
      </x:c>
      <x:c r="C52" s="7" t="s">
        <x:v>147</x:v>
      </x:c>
      <x:c r="D52" s="7" t="s">
        <x:v>148</x:v>
      </x:c>
      <x:c r="E52" s="7" t="s">
        <x:v>149</x:v>
      </x:c>
      <x:c r="F52" s="7" t="s">
        <x:v>99</x:v>
      </x:c>
      <x:c r="G52" s="7" t="n">
        <x:v>94</x:v>
      </x:c>
      <x:c r="I52" s="7" t="n">
        <x:v>2</x:v>
      </x:c>
      <x:c r="J52" s="7" t="s">
        <x:v>100</x:v>
      </x:c>
      <x:c r="K52" s="7" t="s">
        <x:v>101</x:v>
      </x:c>
    </x:row>
    <x:row r="53" ht="15" hidden="0">
      <x:c r="B53" s="8" t="n">
        <x:v>45631</x:v>
      </x:c>
      <x:c r="C53" s="7" t="s">
        <x:v>147</x:v>
      </x:c>
      <x:c r="D53" s="7" t="s">
        <x:v>148</x:v>
      </x:c>
      <x:c r="E53" s="7" t="s">
        <x:v>149</x:v>
      </x:c>
      <x:c r="F53" s="7" t="s">
        <x:v>99</x:v>
      </x:c>
      <x:c r="G53" s="7" t="n">
        <x:v>429</x:v>
      </x:c>
      <x:c r="I53" s="7" t="n">
        <x:v>9</x:v>
      </x:c>
      <x:c r="J53" s="7" t="s">
        <x:v>100</x:v>
      </x:c>
      <x:c r="K53" s="7" t="s">
        <x:v>102</x:v>
      </x:c>
    </x:row>
    <x:row r="54" ht="15" hidden="0">
      <x:c r="B54" s="8" t="n">
        <x:v>45631</x:v>
      </x:c>
      <x:c r="C54" s="7" t="s">
        <x:v>147</x:v>
      </x:c>
      <x:c r="D54" s="7" t="s">
        <x:v>148</x:v>
      </x:c>
      <x:c r="E54" s="7" t="s">
        <x:v>149</x:v>
      </x:c>
      <x:c r="F54" s="7" t="s">
        <x:v>99</x:v>
      </x:c>
      <x:c r="G54" s="7" t="n">
        <x:v>53</x:v>
      </x:c>
      <x:c r="I54" s="7" t="n">
        <x:v>2</x:v>
      </x:c>
      <x:c r="J54" s="7" t="s">
        <x:v>103</x:v>
      </x:c>
      <x:c r="K54" s="7" t="s">
        <x:v>102</x:v>
      </x:c>
    </x:row>
    <x:row r="55" ht="15" hidden="0">
      <x:c r="B55" s="8" t="n">
        <x:v>45631</x:v>
      </x:c>
      <x:c r="C55" s="7" t="s">
        <x:v>147</x:v>
      </x:c>
      <x:c r="D55" s="7" t="s">
        <x:v>148</x:v>
      </x:c>
      <x:c r="E55" s="7" t="s">
        <x:v>149</x:v>
      </x:c>
      <x:c r="F55" s="7" t="s">
        <x:v>99</x:v>
      </x:c>
      <x:c r="G55" s="7" t="n">
        <x:v>35</x:v>
      </x:c>
      <x:c r="I55" s="7" t="n">
        <x:v>2</x:v>
      </x:c>
      <x:c r="J55" s="7" t="s">
        <x:v>104</x:v>
      </x:c>
      <x:c r="K55" s="7" t="s">
        <x:v>102</x:v>
      </x:c>
    </x:row>
    <x:row r="56" ht="15" hidden="0">
      <x:c r="B56" s="8" t="n">
        <x:v>45631</x:v>
      </x:c>
      <x:c r="C56" s="7" t="s">
        <x:v>150</x:v>
      </x:c>
      <x:c r="D56" s="7" t="s">
        <x:v>151</x:v>
      </x:c>
      <x:c r="E56" s="7" t="s">
        <x:v>152</x:v>
      </x:c>
      <x:c r="F56" s="7" t="s">
        <x:v>99</x:v>
      </x:c>
      <x:c r="G56" s="7" t="n">
        <x:v>37</x:v>
      </x:c>
      <x:c r="I56" s="7" t="n">
        <x:v>1</x:v>
      </x:c>
      <x:c r="J56" s="7" t="s">
        <x:v>100</x:v>
      </x:c>
      <x:c r="K56" s="7" t="s">
        <x:v>102</x:v>
      </x:c>
    </x:row>
    <x:row r="57" ht="15" hidden="0">
      <x:c r="B57" s="8" t="n">
        <x:v>45631</x:v>
      </x:c>
      <x:c r="C57" s="7" t="s">
        <x:v>150</x:v>
      </x:c>
      <x:c r="D57" s="7" t="s">
        <x:v>151</x:v>
      </x:c>
      <x:c r="E57" s="7" t="s">
        <x:v>152</x:v>
      </x:c>
      <x:c r="F57" s="7" t="s">
        <x:v>99</x:v>
      </x:c>
      <x:c r="G57" s="7" t="n">
        <x:v>66</x:v>
      </x:c>
      <x:c r="I57" s="7" t="n">
        <x:v>3</x:v>
      </x:c>
      <x:c r="J57" s="7" t="s">
        <x:v>103</x:v>
      </x:c>
      <x:c r="K57" s="7" t="s">
        <x:v>102</x:v>
      </x:c>
    </x:row>
    <x:row r="58" ht="15" hidden="0">
      <x:c r="B58" s="8" t="n">
        <x:v>45631</x:v>
      </x:c>
      <x:c r="C58" s="7" t="s">
        <x:v>153</x:v>
      </x:c>
      <x:c r="D58" s="7" t="s">
        <x:v>154</x:v>
      </x:c>
      <x:c r="E58" s="7" t="s">
        <x:v>155</x:v>
      </x:c>
      <x:c r="F58" s="7" t="s">
        <x:v>99</x:v>
      </x:c>
      <x:c r="G58" s="7" t="n">
        <x:v>74</x:v>
      </x:c>
      <x:c r="I58" s="7" t="n">
        <x:v>1</x:v>
      </x:c>
      <x:c r="J58" s="7" t="s">
        <x:v>100</x:v>
      </x:c>
      <x:c r="K58" s="7" t="s">
        <x:v>101</x:v>
      </x:c>
    </x:row>
    <x:row r="59" ht="15" hidden="0">
      <x:c r="B59" s="8" t="n">
        <x:v>45631</x:v>
      </x:c>
      <x:c r="C59" s="7" t="s">
        <x:v>153</x:v>
      </x:c>
      <x:c r="D59" s="7" t="s">
        <x:v>154</x:v>
      </x:c>
      <x:c r="E59" s="7" t="s">
        <x:v>155</x:v>
      </x:c>
      <x:c r="F59" s="7" t="s">
        <x:v>99</x:v>
      </x:c>
      <x:c r="G59" s="7" t="n">
        <x:v>40</x:v>
      </x:c>
      <x:c r="I59" s="7" t="n">
        <x:v>1</x:v>
      </x:c>
      <x:c r="J59" s="7" t="s">
        <x:v>100</x:v>
      </x:c>
      <x:c r="K59" s="7" t="s">
        <x:v>102</x:v>
      </x:c>
    </x:row>
    <x:row r="60" ht="15" hidden="0">
      <x:c r="B60" s="8" t="n">
        <x:v>45632</x:v>
      </x:c>
      <x:c r="C60" s="7" t="s">
        <x:v>96</x:v>
      </x:c>
      <x:c r="D60" s="7" t="s">
        <x:v>97</x:v>
      </x:c>
      <x:c r="E60" s="7" t="s">
        <x:v>156</x:v>
      </x:c>
      <x:c r="F60" s="7" t="s">
        <x:v>99</x:v>
      </x:c>
      <x:c r="G60" s="7" t="n">
        <x:v>106</x:v>
      </x:c>
      <x:c r="I60" s="7" t="n">
        <x:v>2</x:v>
      </x:c>
      <x:c r="J60" s="7" t="s">
        <x:v>100</x:v>
      </x:c>
      <x:c r="K60" s="7" t="s">
        <x:v>101</x:v>
      </x:c>
    </x:row>
    <x:row r="61" ht="15" hidden="0">
      <x:c r="B61" s="8" t="n">
        <x:v>45632</x:v>
      </x:c>
      <x:c r="C61" s="7" t="s">
        <x:v>96</x:v>
      </x:c>
      <x:c r="D61" s="7" t="s">
        <x:v>97</x:v>
      </x:c>
      <x:c r="E61" s="7" t="s">
        <x:v>156</x:v>
      </x:c>
      <x:c r="F61" s="7" t="s">
        <x:v>99</x:v>
      </x:c>
      <x:c r="G61" s="7" t="n">
        <x:v>106</x:v>
      </x:c>
      <x:c r="I61" s="7" t="n">
        <x:v>2</x:v>
      </x:c>
      <x:c r="J61" s="7" t="s">
        <x:v>100</x:v>
      </x:c>
      <x:c r="K61" s="7" t="s">
        <x:v>102</x:v>
      </x:c>
    </x:row>
    <x:row r="62" ht="15" hidden="0">
      <x:c r="B62" s="8" t="n">
        <x:v>45632</x:v>
      </x:c>
      <x:c r="C62" s="7" t="s">
        <x:v>96</x:v>
      </x:c>
      <x:c r="D62" s="7" t="s">
        <x:v>97</x:v>
      </x:c>
      <x:c r="E62" s="7" t="s">
        <x:v>156</x:v>
      </x:c>
      <x:c r="F62" s="7" t="s">
        <x:v>99</x:v>
      </x:c>
      <x:c r="G62" s="7" t="n">
        <x:v>166</x:v>
      </x:c>
      <x:c r="I62" s="7" t="n">
        <x:v>7</x:v>
      </x:c>
      <x:c r="J62" s="7" t="s">
        <x:v>103</x:v>
      </x:c>
      <x:c r="K62" s="7" t="s">
        <x:v>102</x:v>
      </x:c>
    </x:row>
    <x:row r="63" ht="15" hidden="0">
      <x:c r="B63" s="8" t="n">
        <x:v>45632</x:v>
      </x:c>
      <x:c r="C63" s="7" t="s">
        <x:v>96</x:v>
      </x:c>
      <x:c r="D63" s="7" t="s">
        <x:v>97</x:v>
      </x:c>
      <x:c r="E63" s="7" t="s">
        <x:v>156</x:v>
      </x:c>
      <x:c r="F63" s="7" t="s">
        <x:v>99</x:v>
      </x:c>
      <x:c r="G63" s="7" t="n">
        <x:v>176</x:v>
      </x:c>
      <x:c r="I63" s="7" t="n">
        <x:v>11</x:v>
      </x:c>
      <x:c r="J63" s="7" t="s">
        <x:v>104</x:v>
      </x:c>
      <x:c r="K63" s="7" t="s">
        <x:v>102</x:v>
      </x:c>
    </x:row>
    <x:row r="64" ht="15" hidden="0">
      <x:c r="B64" s="8" t="n">
        <x:v>45633</x:v>
      </x:c>
      <x:c r="C64" s="7" t="s">
        <x:v>157</x:v>
      </x:c>
      <x:c r="D64" s="7" t="s">
        <x:v>158</x:v>
      </x:c>
      <x:c r="E64" s="7" t="s">
        <x:v>159</x:v>
      </x:c>
      <x:c r="F64" s="7" t="s">
        <x:v>99</x:v>
      </x:c>
      <x:c r="G64" s="7" t="n">
        <x:v>91</x:v>
      </x:c>
      <x:c r="I64" s="7" t="n">
        <x:v>2</x:v>
      </x:c>
      <x:c r="J64" s="7" t="s">
        <x:v>100</x:v>
      </x:c>
      <x:c r="K64" s="7" t="s">
        <x:v>101</x:v>
      </x:c>
    </x:row>
    <x:row r="65" ht="15" hidden="0">
      <x:c r="B65" s="8" t="n">
        <x:v>45633</x:v>
      </x:c>
      <x:c r="C65" s="7" t="s">
        <x:v>157</x:v>
      </x:c>
      <x:c r="D65" s="7" t="s">
        <x:v>158</x:v>
      </x:c>
      <x:c r="E65" s="7" t="s">
        <x:v>159</x:v>
      </x:c>
      <x:c r="F65" s="7" t="s">
        <x:v>99</x:v>
      </x:c>
      <x:c r="G65" s="7" t="n">
        <x:v>634</x:v>
      </x:c>
      <x:c r="I65" s="7" t="n">
        <x:v>14</x:v>
      </x:c>
      <x:c r="J65" s="7" t="s">
        <x:v>100</x:v>
      </x:c>
      <x:c r="K65" s="7" t="s">
        <x:v>102</x:v>
      </x:c>
    </x:row>
    <x:row r="66" ht="15" hidden="0">
      <x:c r="B66" s="8" t="n">
        <x:v>45633</x:v>
      </x:c>
      <x:c r="C66" s="7" t="s">
        <x:v>157</x:v>
      </x:c>
      <x:c r="D66" s="7" t="s">
        <x:v>158</x:v>
      </x:c>
      <x:c r="E66" s="7" t="s">
        <x:v>159</x:v>
      </x:c>
      <x:c r="F66" s="7" t="s">
        <x:v>99</x:v>
      </x:c>
      <x:c r="G66" s="7" t="n">
        <x:v>24</x:v>
      </x:c>
      <x:c r="I66" s="7" t="n">
        <x:v>1</x:v>
      </x:c>
      <x:c r="J66" s="7" t="s">
        <x:v>103</x:v>
      </x:c>
      <x:c r="K66" s="7" t="s">
        <x:v>102</x:v>
      </x:c>
    </x:row>
    <x:row r="67" ht="15" hidden="0">
      <x:c r="B67" s="8" t="n">
        <x:v>45633</x:v>
      </x:c>
      <x:c r="C67" s="7" t="s">
        <x:v>160</x:v>
      </x:c>
      <x:c r="D67" s="7" t="s">
        <x:v>161</x:v>
      </x:c>
      <x:c r="E67" s="7" t="s">
        <x:v>162</x:v>
      </x:c>
      <x:c r="F67" s="7" t="s">
        <x:v>99</x:v>
      </x:c>
      <x:c r="G67" s="7" t="n">
        <x:v>228</x:v>
      </x:c>
      <x:c r="I67" s="7" t="n">
        <x:v>5</x:v>
      </x:c>
      <x:c r="J67" s="7" t="s">
        <x:v>100</x:v>
      </x:c>
      <x:c r="K67" s="7" t="s">
        <x:v>102</x:v>
      </x:c>
    </x:row>
    <x:row r="68" ht="15" hidden="0">
      <x:c r="B68" s="8" t="n">
        <x:v>45633</x:v>
      </x:c>
      <x:c r="C68" s="7" t="s">
        <x:v>160</x:v>
      </x:c>
      <x:c r="D68" s="7" t="s">
        <x:v>161</x:v>
      </x:c>
      <x:c r="E68" s="7" t="s">
        <x:v>162</x:v>
      </x:c>
      <x:c r="F68" s="7" t="s">
        <x:v>99</x:v>
      </x:c>
      <x:c r="G68" s="7" t="n">
        <x:v>76</x:v>
      </x:c>
      <x:c r="I68" s="7" t="n">
        <x:v>3</x:v>
      </x:c>
      <x:c r="J68" s="7" t="s">
        <x:v>103</x:v>
      </x:c>
      <x:c r="K68" s="7" t="s">
        <x:v>102</x:v>
      </x:c>
    </x:row>
    <x:row r="69" ht="15" hidden="0">
      <x:c r="B69" s="8" t="n">
        <x:v>45633</x:v>
      </x:c>
      <x:c r="C69" s="7" t="s">
        <x:v>160</x:v>
      </x:c>
      <x:c r="D69" s="7" t="s">
        <x:v>161</x:v>
      </x:c>
      <x:c r="E69" s="7" t="s">
        <x:v>162</x:v>
      </x:c>
      <x:c r="F69" s="7" t="s">
        <x:v>99</x:v>
      </x:c>
      <x:c r="G69" s="7" t="n">
        <x:v>18</x:v>
      </x:c>
      <x:c r="I69" s="7" t="n">
        <x:v>1</x:v>
      </x:c>
      <x:c r="J69" s="7" t="s">
        <x:v>104</x:v>
      </x:c>
      <x:c r="K69" s="7" t="s">
        <x:v>102</x:v>
      </x:c>
    </x:row>
    <x:row r="70" ht="15" hidden="0">
      <x:c r="B70" s="8" t="n">
        <x:v>45633</x:v>
      </x:c>
      <x:c r="C70" s="7" t="s">
        <x:v>163</x:v>
      </x:c>
      <x:c r="D70" s="7" t="s">
        <x:v>164</x:v>
      </x:c>
      <x:c r="E70" s="7" t="s">
        <x:v>165</x:v>
      </x:c>
      <x:c r="F70" s="7" t="s">
        <x:v>99</x:v>
      </x:c>
      <x:c r="G70" s="7" t="n">
        <x:v>85</x:v>
      </x:c>
      <x:c r="I70" s="7" t="n">
        <x:v>2</x:v>
      </x:c>
      <x:c r="J70" s="7" t="s">
        <x:v>100</x:v>
      </x:c>
      <x:c r="K70" s="7" t="s">
        <x:v>101</x:v>
      </x:c>
    </x:row>
    <x:row r="71" ht="15" hidden="0">
      <x:c r="B71" s="8" t="n">
        <x:v>45633</x:v>
      </x:c>
      <x:c r="C71" s="7" t="s">
        <x:v>163</x:v>
      </x:c>
      <x:c r="D71" s="7" t="s">
        <x:v>164</x:v>
      </x:c>
      <x:c r="E71" s="7" t="s">
        <x:v>165</x:v>
      </x:c>
      <x:c r="F71" s="7" t="s">
        <x:v>99</x:v>
      </x:c>
      <x:c r="G71" s="7" t="n">
        <x:v>842</x:v>
      </x:c>
      <x:c r="I71" s="7" t="n">
        <x:v>18</x:v>
      </x:c>
      <x:c r="J71" s="7" t="s">
        <x:v>100</x:v>
      </x:c>
      <x:c r="K71" s="7" t="s">
        <x:v>102</x:v>
      </x:c>
    </x:row>
    <x:row r="72" ht="15" hidden="0">
      <x:c r="B72" s="8" t="n">
        <x:v>45633</x:v>
      </x:c>
      <x:c r="C72" s="7" t="s">
        <x:v>163</x:v>
      </x:c>
      <x:c r="D72" s="7" t="s">
        <x:v>164</x:v>
      </x:c>
      <x:c r="E72" s="7" t="s">
        <x:v>165</x:v>
      </x:c>
      <x:c r="F72" s="7" t="s">
        <x:v>99</x:v>
      </x:c>
      <x:c r="G72" s="7" t="n">
        <x:v>54</x:v>
      </x:c>
      <x:c r="I72" s="7" t="n">
        <x:v>2</x:v>
      </x:c>
      <x:c r="J72" s="7" t="s">
        <x:v>103</x:v>
      </x:c>
      <x:c r="K72" s="7" t="s">
        <x:v>102</x:v>
      </x:c>
    </x:row>
    <x:row r="73" ht="15" hidden="0">
      <x:c r="B73" s="8" t="n">
        <x:v>45633</x:v>
      </x:c>
      <x:c r="C73" s="7" t="s">
        <x:v>163</x:v>
      </x:c>
      <x:c r="D73" s="7" t="s">
        <x:v>164</x:v>
      </x:c>
      <x:c r="E73" s="7" t="s">
        <x:v>165</x:v>
      </x:c>
      <x:c r="F73" s="7" t="s">
        <x:v>99</x:v>
      </x:c>
      <x:c r="G73" s="7" t="n">
        <x:v>19</x:v>
      </x:c>
      <x:c r="I73" s="7" t="n">
        <x:v>1</x:v>
      </x:c>
      <x:c r="J73" s="7" t="s">
        <x:v>104</x:v>
      </x:c>
      <x:c r="K73" s="7" t="s">
        <x:v>102</x:v>
      </x:c>
    </x:row>
    <x:row r="74" ht="15" hidden="0">
      <x:c r="B74" s="8" t="n">
        <x:v>45633</x:v>
      </x:c>
      <x:c r="C74" s="7" t="s">
        <x:v>120</x:v>
      </x:c>
      <x:c r="D74" s="7" t="s">
        <x:v>166</x:v>
      </x:c>
      <x:c r="E74" s="7" t="s">
        <x:v>167</x:v>
      </x:c>
      <x:c r="F74" s="7" t="s">
        <x:v>99</x:v>
      </x:c>
      <x:c r="G74" s="7" t="n">
        <x:v>82</x:v>
      </x:c>
      <x:c r="I74" s="7" t="n">
        <x:v>1</x:v>
      </x:c>
      <x:c r="J74" s="7" t="s">
        <x:v>100</x:v>
      </x:c>
      <x:c r="K74" s="7" t="s">
        <x:v>101</x:v>
      </x:c>
    </x:row>
    <x:row r="75" ht="15" hidden="0">
      <x:c r="B75" s="8" t="n">
        <x:v>45633</x:v>
      </x:c>
      <x:c r="C75" s="7" t="s">
        <x:v>168</x:v>
      </x:c>
      <x:c r="D75" s="7" t="s">
        <x:v>169</x:v>
      </x:c>
      <x:c r="E75" s="7" t="s">
        <x:v>170</x:v>
      </x:c>
      <x:c r="F75" s="7" t="s">
        <x:v>99</x:v>
      </x:c>
      <x:c r="G75" s="7" t="n">
        <x:v>49</x:v>
      </x:c>
      <x:c r="I75" s="7" t="n">
        <x:v>1</x:v>
      </x:c>
      <x:c r="J75" s="7" t="s">
        <x:v>100</x:v>
      </x:c>
      <x:c r="K75" s="7" t="s">
        <x:v>101</x:v>
      </x:c>
    </x:row>
    <x:row r="76" ht="15" hidden="0">
      <x:c r="B76" s="8" t="n">
        <x:v>45633</x:v>
      </x:c>
      <x:c r="C76" s="7" t="s">
        <x:v>168</x:v>
      </x:c>
      <x:c r="D76" s="7" t="s">
        <x:v>169</x:v>
      </x:c>
      <x:c r="E76" s="7" t="s">
        <x:v>170</x:v>
      </x:c>
      <x:c r="F76" s="7" t="s">
        <x:v>99</x:v>
      </x:c>
      <x:c r="G76" s="7" t="n">
        <x:v>308</x:v>
      </x:c>
      <x:c r="I76" s="7" t="n">
        <x:v>7</x:v>
      </x:c>
      <x:c r="J76" s="7" t="s">
        <x:v>100</x:v>
      </x:c>
      <x:c r="K76" s="7" t="s">
        <x:v>102</x:v>
      </x:c>
    </x:row>
    <x:row r="77" ht="15" hidden="0">
      <x:c r="B77" s="8" t="n">
        <x:v>45638</x:v>
      </x:c>
      <x:c r="C77" s="7" t="s">
        <x:v>171</x:v>
      </x:c>
      <x:c r="D77" s="7" t="s">
        <x:v>172</x:v>
      </x:c>
      <x:c r="E77" s="7" t="s">
        <x:v>173</x:v>
      </x:c>
      <x:c r="F77" s="7" t="s">
        <x:v>99</x:v>
      </x:c>
      <x:c r="G77" s="7" t="n">
        <x:v>151</x:v>
      </x:c>
      <x:c r="I77" s="7" t="n">
        <x:v>3</x:v>
      </x:c>
      <x:c r="J77" s="7" t="s">
        <x:v>100</x:v>
      </x:c>
      <x:c r="K77" s="7" t="s">
        <x:v>102</x:v>
      </x:c>
    </x:row>
    <x:row r="78" ht="15" hidden="0">
      <x:c r="B78" s="8" t="n">
        <x:v>45638</x:v>
      </x:c>
      <x:c r="C78" s="7" t="s">
        <x:v>171</x:v>
      </x:c>
      <x:c r="D78" s="7" t="s">
        <x:v>172</x:v>
      </x:c>
      <x:c r="E78" s="7" t="s">
        <x:v>173</x:v>
      </x:c>
      <x:c r="F78" s="7" t="s">
        <x:v>99</x:v>
      </x:c>
      <x:c r="G78" s="7" t="n">
        <x:v>27</x:v>
      </x:c>
      <x:c r="I78" s="7" t="n">
        <x:v>1</x:v>
      </x:c>
      <x:c r="J78" s="7" t="s">
        <x:v>103</x:v>
      </x:c>
      <x:c r="K78" s="7" t="s">
        <x:v>102</x:v>
      </x:c>
    </x:row>
    <x:row r="79" ht="15" hidden="0">
      <x:c r="B79" s="8" t="n">
        <x:v>45638</x:v>
      </x:c>
      <x:c r="C79" s="7" t="s">
        <x:v>174</x:v>
      </x:c>
      <x:c r="D79" s="7" t="s">
        <x:v>175</x:v>
      </x:c>
      <x:c r="E79" s="7" t="s">
        <x:v>176</x:v>
      </x:c>
      <x:c r="F79" s="7" t="s">
        <x:v>99</x:v>
      </x:c>
      <x:c r="G79" s="7" t="n">
        <x:v>267</x:v>
      </x:c>
      <x:c r="I79" s="7" t="n">
        <x:v>5</x:v>
      </x:c>
      <x:c r="J79" s="7" t="s">
        <x:v>100</x:v>
      </x:c>
      <x:c r="K79" s="7" t="s">
        <x:v>102</x:v>
      </x:c>
    </x:row>
    <x:row r="80" ht="15" hidden="0">
      <x:c r="B80" s="8" t="n">
        <x:v>45638</x:v>
      </x:c>
      <x:c r="C80" s="7" t="s">
        <x:v>174</x:v>
      </x:c>
      <x:c r="D80" s="7" t="s">
        <x:v>175</x:v>
      </x:c>
      <x:c r="E80" s="7" t="s">
        <x:v>176</x:v>
      </x:c>
      <x:c r="F80" s="7" t="s">
        <x:v>99</x:v>
      </x:c>
      <x:c r="G80" s="7" t="n">
        <x:v>17</x:v>
      </x:c>
      <x:c r="I80" s="7" t="n">
        <x:v>1</x:v>
      </x:c>
      <x:c r="J80" s="7" t="s">
        <x:v>104</x:v>
      </x:c>
      <x:c r="K80" s="7" t="s">
        <x:v>102</x:v>
      </x:c>
    </x:row>
    <x:row r="81" ht="15" hidden="0">
      <x:c r="B81" s="8" t="n">
        <x:v>45639</x:v>
      </x:c>
      <x:c r="C81" s="7" t="s">
        <x:v>107</x:v>
      </x:c>
      <x:c r="D81" s="7" t="s">
        <x:v>108</x:v>
      </x:c>
      <x:c r="E81" s="7" t="s">
        <x:v>177</x:v>
      </x:c>
      <x:c r="F81" s="7" t="s">
        <x:v>99</x:v>
      </x:c>
      <x:c r="G81" s="7" t="n">
        <x:v>86</x:v>
      </x:c>
      <x:c r="I81" s="7" t="n">
        <x:v>1</x:v>
      </x:c>
      <x:c r="J81" s="7" t="s">
        <x:v>100</x:v>
      </x:c>
      <x:c r="K81" s="7" t="s">
        <x:v>102</x:v>
      </x:c>
    </x:row>
    <x:row r="82" ht="15" hidden="0">
      <x:c r="B82" s="8" t="n">
        <x:v>45639</x:v>
      </x:c>
      <x:c r="C82" s="7" t="s">
        <x:v>107</x:v>
      </x:c>
      <x:c r="D82" s="7" t="s">
        <x:v>108</x:v>
      </x:c>
      <x:c r="E82" s="7" t="s">
        <x:v>177</x:v>
      </x:c>
      <x:c r="F82" s="7" t="s">
        <x:v>99</x:v>
      </x:c>
      <x:c r="G82" s="7" t="n">
        <x:v>51</x:v>
      </x:c>
      <x:c r="I82" s="7" t="n">
        <x:v>2</x:v>
      </x:c>
      <x:c r="J82" s="7" t="s">
        <x:v>103</x:v>
      </x:c>
      <x:c r="K82" s="7" t="s">
        <x:v>102</x:v>
      </x:c>
    </x:row>
    <x:row r="83" ht="15" hidden="0">
      <x:c r="B83" s="8" t="n">
        <x:v>45639</x:v>
      </x:c>
      <x:c r="C83" s="7" t="s">
        <x:v>107</x:v>
      </x:c>
      <x:c r="D83" s="7" t="s">
        <x:v>108</x:v>
      </x:c>
      <x:c r="E83" s="7" t="s">
        <x:v>177</x:v>
      </x:c>
      <x:c r="F83" s="7" t="s">
        <x:v>99</x:v>
      </x:c>
      <x:c r="G83" s="7" t="n">
        <x:v>31</x:v>
      </x:c>
      <x:c r="I83" s="7" t="n">
        <x:v>2</x:v>
      </x:c>
      <x:c r="J83" s="7" t="s">
        <x:v>104</x:v>
      </x:c>
      <x:c r="K83" s="7" t="s">
        <x:v>102</x:v>
      </x:c>
    </x:row>
    <x:row r="84" ht="15" hidden="0">
      <x:c r="B84" s="8" t="n">
        <x:v>45639</x:v>
      </x:c>
      <x:c r="C84" s="7" t="s">
        <x:v>178</x:v>
      </x:c>
      <x:c r="D84" s="7" t="s">
        <x:v>179</x:v>
      </x:c>
      <x:c r="E84" s="7" t="s">
        <x:v>180</x:v>
      </x:c>
      <x:c r="F84" s="7" t="s">
        <x:v>99</x:v>
      </x:c>
      <x:c r="G84" s="7" t="n">
        <x:v>44</x:v>
      </x:c>
      <x:c r="I84" s="7" t="n">
        <x:v>1</x:v>
      </x:c>
      <x:c r="J84" s="7" t="s">
        <x:v>100</x:v>
      </x:c>
      <x:c r="K84" s="7" t="s">
        <x:v>101</x:v>
      </x:c>
    </x:row>
    <x:row r="85" ht="15" hidden="0">
      <x:c r="B85" s="8" t="n">
        <x:v>45639</x:v>
      </x:c>
      <x:c r="C85" s="7" t="s">
        <x:v>178</x:v>
      </x:c>
      <x:c r="D85" s="7" t="s">
        <x:v>179</x:v>
      </x:c>
      <x:c r="E85" s="7" t="s">
        <x:v>180</x:v>
      </x:c>
      <x:c r="F85" s="7" t="s">
        <x:v>99</x:v>
      </x:c>
      <x:c r="G85" s="7" t="n">
        <x:v>121</x:v>
      </x:c>
      <x:c r="I85" s="7" t="n">
        <x:v>2</x:v>
      </x:c>
      <x:c r="J85" s="7" t="s">
        <x:v>100</x:v>
      </x:c>
      <x:c r="K85" s="7" t="s">
        <x:v>102</x:v>
      </x:c>
    </x:row>
    <x:row r="86" ht="15" hidden="0">
      <x:c r="B86" s="8" t="n">
        <x:v>45639</x:v>
      </x:c>
      <x:c r="C86" s="7" t="s">
        <x:v>178</x:v>
      </x:c>
      <x:c r="D86" s="7" t="s">
        <x:v>179</x:v>
      </x:c>
      <x:c r="E86" s="7" t="s">
        <x:v>180</x:v>
      </x:c>
      <x:c r="F86" s="7" t="s">
        <x:v>99</x:v>
      </x:c>
      <x:c r="G86" s="7" t="n">
        <x:v>18</x:v>
      </x:c>
      <x:c r="I86" s="7" t="n">
        <x:v>1</x:v>
      </x:c>
      <x:c r="J86" s="7" t="s">
        <x:v>104</x:v>
      </x:c>
      <x:c r="K86" s="7" t="s">
        <x:v>102</x:v>
      </x:c>
    </x:row>
    <x:row r="87" ht="15" hidden="0">
      <x:c r="B87" s="8" t="n">
        <x:v>45639</x:v>
      </x:c>
      <x:c r="C87" s="7" t="s">
        <x:v>163</x:v>
      </x:c>
      <x:c r="D87" s="7" t="s">
        <x:v>164</x:v>
      </x:c>
      <x:c r="E87" s="7" t="s">
        <x:v>181</x:v>
      </x:c>
      <x:c r="F87" s="7" t="s">
        <x:v>99</x:v>
      </x:c>
      <x:c r="G87" s="7" t="n">
        <x:v>48</x:v>
      </x:c>
      <x:c r="I87" s="7" t="n">
        <x:v>1</x:v>
      </x:c>
      <x:c r="J87" s="7" t="s">
        <x:v>100</x:v>
      </x:c>
      <x:c r="K87" s="7" t="s">
        <x:v>101</x:v>
      </x:c>
    </x:row>
    <x:row r="88" ht="15" hidden="0">
      <x:c r="B88" s="8" t="n">
        <x:v>45639</x:v>
      </x:c>
      <x:c r="C88" s="7" t="s">
        <x:v>163</x:v>
      </x:c>
      <x:c r="D88" s="7" t="s">
        <x:v>164</x:v>
      </x:c>
      <x:c r="E88" s="7" t="s">
        <x:v>181</x:v>
      </x:c>
      <x:c r="F88" s="7" t="s">
        <x:v>99</x:v>
      </x:c>
      <x:c r="G88" s="7" t="n">
        <x:v>788</x:v>
      </x:c>
      <x:c r="I88" s="7" t="n">
        <x:v>15</x:v>
      </x:c>
      <x:c r="J88" s="7" t="s">
        <x:v>100</x:v>
      </x:c>
      <x:c r="K88" s="7" t="s">
        <x:v>102</x:v>
      </x:c>
    </x:row>
    <x:row r="89" ht="15" hidden="0">
      <x:c r="B89" s="8" t="n">
        <x:v>45639</x:v>
      </x:c>
      <x:c r="C89" s="7" t="s">
        <x:v>163</x:v>
      </x:c>
      <x:c r="D89" s="7" t="s">
        <x:v>164</x:v>
      </x:c>
      <x:c r="E89" s="7" t="s">
        <x:v>181</x:v>
      </x:c>
      <x:c r="F89" s="7" t="s">
        <x:v>99</x:v>
      </x:c>
      <x:c r="G89" s="7" t="n">
        <x:v>26</x:v>
      </x:c>
      <x:c r="I89" s="7" t="n">
        <x:v>1</x:v>
      </x:c>
      <x:c r="J89" s="7" t="s">
        <x:v>103</x:v>
      </x:c>
      <x:c r="K89" s="7" t="s">
        <x:v>102</x:v>
      </x:c>
    </x:row>
    <x:row r="90" ht="15" hidden="0">
      <x:c r="B90" s="8" t="n">
        <x:v>45639</x:v>
      </x:c>
      <x:c r="C90" s="7" t="s">
        <x:v>163</x:v>
      </x:c>
      <x:c r="D90" s="7" t="s">
        <x:v>164</x:v>
      </x:c>
      <x:c r="E90" s="7" t="s">
        <x:v>181</x:v>
      </x:c>
      <x:c r="F90" s="7" t="s">
        <x:v>99</x:v>
      </x:c>
      <x:c r="G90" s="7" t="n">
        <x:v>35</x:v>
      </x:c>
      <x:c r="I90" s="7" t="n">
        <x:v>2</x:v>
      </x:c>
      <x:c r="J90" s="7" t="s">
        <x:v>104</x:v>
      </x:c>
      <x:c r="K90" s="7" t="s">
        <x:v>102</x:v>
      </x:c>
    </x:row>
    <x:row r="91" ht="15" hidden="0">
      <x:c r="B91" s="8" t="n">
        <x:v>45640</x:v>
      </x:c>
      <x:c r="C91" s="7" t="s">
        <x:v>182</x:v>
      </x:c>
      <x:c r="D91" s="7" t="s">
        <x:v>183</x:v>
      </x:c>
      <x:c r="E91" s="7" t="s">
        <x:v>184</x:v>
      </x:c>
      <x:c r="F91" s="7" t="s">
        <x:v>99</x:v>
      </x:c>
      <x:c r="G91" s="7" t="n">
        <x:v>113</x:v>
      </x:c>
      <x:c r="I91" s="7" t="n">
        <x:v>2</x:v>
      </x:c>
      <x:c r="J91" s="7" t="s">
        <x:v>100</x:v>
      </x:c>
      <x:c r="K91" s="7" t="s">
        <x:v>101</x:v>
      </x:c>
    </x:row>
    <x:row r="92" ht="15" hidden="0">
      <x:c r="B92" s="8" t="n">
        <x:v>45640</x:v>
      </x:c>
      <x:c r="C92" s="7" t="s">
        <x:v>182</x:v>
      </x:c>
      <x:c r="D92" s="7" t="s">
        <x:v>183</x:v>
      </x:c>
      <x:c r="E92" s="7" t="s">
        <x:v>184</x:v>
      </x:c>
      <x:c r="F92" s="7" t="s">
        <x:v>99</x:v>
      </x:c>
      <x:c r="G92" s="7" t="n">
        <x:v>224</x:v>
      </x:c>
      <x:c r="I92" s="7" t="n">
        <x:v>4</x:v>
      </x:c>
      <x:c r="J92" s="7" t="s">
        <x:v>100</x:v>
      </x:c>
      <x:c r="K92" s="7" t="s">
        <x:v>102</x:v>
      </x:c>
    </x:row>
    <x:row r="93" ht="15" hidden="0">
      <x:c r="B93" s="8" t="n">
        <x:v>45640</x:v>
      </x:c>
      <x:c r="C93" s="7" t="s">
        <x:v>182</x:v>
      </x:c>
      <x:c r="D93" s="7" t="s">
        <x:v>183</x:v>
      </x:c>
      <x:c r="E93" s="7" t="s">
        <x:v>184</x:v>
      </x:c>
      <x:c r="F93" s="7" t="s">
        <x:v>99</x:v>
      </x:c>
      <x:c r="G93" s="7" t="n">
        <x:v>22</x:v>
      </x:c>
      <x:c r="I93" s="7" t="n">
        <x:v>1</x:v>
      </x:c>
      <x:c r="J93" s="7" t="s">
        <x:v>103</x:v>
      </x:c>
      <x:c r="K93" s="7" t="s">
        <x:v>102</x:v>
      </x:c>
    </x:row>
    <x:row r="94" ht="15" hidden="0">
      <x:c r="B94" s="8" t="n">
        <x:v>45640</x:v>
      </x:c>
      <x:c r="C94" s="7" t="s">
        <x:v>185</x:v>
      </x:c>
      <x:c r="D94" s="7" t="s">
        <x:v>186</x:v>
      </x:c>
      <x:c r="E94" s="7" t="s">
        <x:v>187</x:v>
      </x:c>
      <x:c r="F94" s="7" t="s">
        <x:v>99</x:v>
      </x:c>
      <x:c r="G94" s="7" t="n">
        <x:v>74</x:v>
      </x:c>
      <x:c r="I94" s="7" t="n">
        <x:v>1</x:v>
      </x:c>
      <x:c r="J94" s="7" t="s">
        <x:v>100</x:v>
      </x:c>
      <x:c r="K94" s="7" t="s">
        <x:v>101</x:v>
      </x:c>
    </x:row>
    <x:row r="95" ht="15" hidden="0">
      <x:c r="B95" s="8" t="n">
        <x:v>45640</x:v>
      </x:c>
      <x:c r="C95" s="7" t="s">
        <x:v>185</x:v>
      </x:c>
      <x:c r="D95" s="7" t="s">
        <x:v>186</x:v>
      </x:c>
      <x:c r="E95" s="7" t="s">
        <x:v>187</x:v>
      </x:c>
      <x:c r="F95" s="7" t="s">
        <x:v>99</x:v>
      </x:c>
      <x:c r="G95" s="7" t="n">
        <x:v>171</x:v>
      </x:c>
      <x:c r="I95" s="7" t="n">
        <x:v>3</x:v>
      </x:c>
      <x:c r="J95" s="7" t="s">
        <x:v>100</x:v>
      </x:c>
      <x:c r="K95" s="7" t="s">
        <x:v>102</x:v>
      </x:c>
    </x:row>
    <x:row r="96" ht="15" hidden="0">
      <x:c r="B96" s="8" t="n">
        <x:v>45640</x:v>
      </x:c>
      <x:c r="C96" s="7" t="s">
        <x:v>185</x:v>
      </x:c>
      <x:c r="D96" s="7" t="s">
        <x:v>186</x:v>
      </x:c>
      <x:c r="E96" s="7" t="s">
        <x:v>187</x:v>
      </x:c>
      <x:c r="F96" s="7" t="s">
        <x:v>99</x:v>
      </x:c>
      <x:c r="G96" s="7" t="n">
        <x:v>21</x:v>
      </x:c>
      <x:c r="I96" s="7" t="n">
        <x:v>1</x:v>
      </x:c>
      <x:c r="J96" s="7" t="s">
        <x:v>103</x:v>
      </x:c>
      <x:c r="K96" s="7" t="s">
        <x:v>102</x:v>
      </x:c>
    </x:row>
    <x:row r="97" ht="15" hidden="0">
      <x:c r="B97" s="8" t="n">
        <x:v>45640</x:v>
      </x:c>
      <x:c r="C97" s="7" t="s">
        <x:v>185</x:v>
      </x:c>
      <x:c r="D97" s="7" t="s">
        <x:v>186</x:v>
      </x:c>
      <x:c r="E97" s="7" t="s">
        <x:v>187</x:v>
      </x:c>
      <x:c r="F97" s="7" t="s">
        <x:v>99</x:v>
      </x:c>
      <x:c r="G97" s="7" t="n">
        <x:v>18</x:v>
      </x:c>
      <x:c r="I97" s="7" t="n">
        <x:v>1</x:v>
      </x:c>
      <x:c r="J97" s="7" t="s">
        <x:v>104</x:v>
      </x:c>
      <x:c r="K97" s="7" t="s">
        <x:v>102</x:v>
      </x:c>
    </x:row>
    <x:row r="98" ht="15" hidden="0">
      <x:c r="B98" s="8" t="n">
        <x:v>45642</x:v>
      </x:c>
      <x:c r="C98" s="7" t="s">
        <x:v>188</x:v>
      </x:c>
      <x:c r="D98" s="7" t="s">
        <x:v>189</x:v>
      </x:c>
      <x:c r="E98" s="7" t="s">
        <x:v>190</x:v>
      </x:c>
      <x:c r="F98" s="7" t="s">
        <x:v>99</x:v>
      </x:c>
      <x:c r="G98" s="7" t="n">
        <x:v>66</x:v>
      </x:c>
      <x:c r="I98" s="7" t="n">
        <x:v>1</x:v>
      </x:c>
      <x:c r="J98" s="7" t="s">
        <x:v>100</x:v>
      </x:c>
      <x:c r="K98" s="7" t="s">
        <x:v>102</x:v>
      </x:c>
    </x:row>
    <x:row r="99" ht="15" hidden="0">
      <x:c r="B99" s="8" t="n">
        <x:v>45642</x:v>
      </x:c>
      <x:c r="C99" s="7" t="s">
        <x:v>191</x:v>
      </x:c>
      <x:c r="D99" s="7" t="s">
        <x:v>192</x:v>
      </x:c>
      <x:c r="E99" s="7" t="s">
        <x:v>193</x:v>
      </x:c>
      <x:c r="F99" s="7" t="s">
        <x:v>99</x:v>
      </x:c>
      <x:c r="G99" s="7" t="n">
        <x:v>318</x:v>
      </x:c>
      <x:c r="I99" s="7" t="n">
        <x:v>7</x:v>
      </x:c>
      <x:c r="J99" s="7" t="s">
        <x:v>100</x:v>
      </x:c>
      <x:c r="K99" s="7" t="s">
        <x:v>102</x:v>
      </x:c>
    </x:row>
    <x:row r="100" ht="15" hidden="0">
      <x:c r="B100" s="8" t="n">
        <x:v>45642</x:v>
      </x:c>
      <x:c r="C100" s="7" t="s">
        <x:v>191</x:v>
      </x:c>
      <x:c r="D100" s="7" t="s">
        <x:v>192</x:v>
      </x:c>
      <x:c r="E100" s="7" t="s">
        <x:v>193</x:v>
      </x:c>
      <x:c r="F100" s="7" t="s">
        <x:v>99</x:v>
      </x:c>
      <x:c r="G100" s="7" t="n">
        <x:v>24</x:v>
      </x:c>
      <x:c r="I100" s="7" t="n">
        <x:v>1</x:v>
      </x:c>
      <x:c r="J100" s="7" t="s">
        <x:v>103</x:v>
      </x:c>
      <x:c r="K100" s="7" t="s">
        <x:v>102</x:v>
      </x:c>
    </x:row>
    <x:row r="101" ht="15" hidden="0">
      <x:c r="B101" s="8" t="n">
        <x:v>45642</x:v>
      </x:c>
      <x:c r="C101" s="7" t="s">
        <x:v>191</x:v>
      </x:c>
      <x:c r="D101" s="7" t="s">
        <x:v>192</x:v>
      </x:c>
      <x:c r="E101" s="7" t="s">
        <x:v>193</x:v>
      </x:c>
      <x:c r="F101" s="7" t="s">
        <x:v>99</x:v>
      </x:c>
      <x:c r="G101" s="7" t="n">
        <x:v>38</x:v>
      </x:c>
      <x:c r="I101" s="7" t="n">
        <x:v>2</x:v>
      </x:c>
      <x:c r="J101" s="7" t="s">
        <x:v>104</x:v>
      </x:c>
      <x:c r="K101" s="7" t="s">
        <x:v>102</x:v>
      </x:c>
    </x:row>
    <x:row r="102" ht="15" hidden="0">
      <x:c r="B102" s="8" t="n">
        <x:v>45642</x:v>
      </x:c>
      <x:c r="C102" s="7" t="s">
        <x:v>194</x:v>
      </x:c>
      <x:c r="D102" s="7" t="s">
        <x:v>195</x:v>
      </x:c>
      <x:c r="E102" s="7" t="s">
        <x:v>196</x:v>
      </x:c>
      <x:c r="F102" s="7" t="s">
        <x:v>99</x:v>
      </x:c>
      <x:c r="G102" s="7" t="n">
        <x:v>141</x:v>
      </x:c>
      <x:c r="I102" s="7" t="n">
        <x:v>3</x:v>
      </x:c>
      <x:c r="J102" s="7" t="s">
        <x:v>100</x:v>
      </x:c>
      <x:c r="K102" s="7" t="s">
        <x:v>102</x:v>
      </x:c>
    </x:row>
    <x:row r="103" ht="15" hidden="0">
      <x:c r="B103" s="8" t="n">
        <x:v>45642</x:v>
      </x:c>
      <x:c r="C103" s="7" t="s">
        <x:v>194</x:v>
      </x:c>
      <x:c r="D103" s="7" t="s">
        <x:v>195</x:v>
      </x:c>
      <x:c r="E103" s="7" t="s">
        <x:v>196</x:v>
      </x:c>
      <x:c r="F103" s="7" t="s">
        <x:v>99</x:v>
      </x:c>
      <x:c r="G103" s="7" t="n">
        <x:v>68</x:v>
      </x:c>
      <x:c r="I103" s="7" t="n">
        <x:v>3</x:v>
      </x:c>
      <x:c r="J103" s="7" t="s">
        <x:v>103</x:v>
      </x:c>
      <x:c r="K103" s="7" t="s">
        <x:v>102</x:v>
      </x:c>
    </x:row>
    <x:row r="104" ht="15" hidden="0">
      <x:c r="B104" s="8" t="n">
        <x:v>45642</x:v>
      </x:c>
      <x:c r="C104" s="7" t="s">
        <x:v>194</x:v>
      </x:c>
      <x:c r="D104" s="7" t="s">
        <x:v>195</x:v>
      </x:c>
      <x:c r="E104" s="7" t="s">
        <x:v>196</x:v>
      </x:c>
      <x:c r="F104" s="7" t="s">
        <x:v>99</x:v>
      </x:c>
      <x:c r="G104" s="7" t="n">
        <x:v>34</x:v>
      </x:c>
      <x:c r="I104" s="7" t="n">
        <x:v>2</x:v>
      </x:c>
      <x:c r="J104" s="7" t="s">
        <x:v>104</x:v>
      </x:c>
      <x:c r="K104" s="7" t="s">
        <x:v>102</x:v>
      </x:c>
    </x:row>
    <x:row r="105" ht="15" hidden="0">
      <x:c r="B105" s="8" t="n">
        <x:v>45643</x:v>
      </x:c>
      <x:c r="C105" s="7" t="s">
        <x:v>197</x:v>
      </x:c>
      <x:c r="D105" s="7" t="s">
        <x:v>198</x:v>
      </x:c>
      <x:c r="E105" s="7" t="s">
        <x:v>199</x:v>
      </x:c>
      <x:c r="F105" s="7" t="s">
        <x:v>99</x:v>
      </x:c>
      <x:c r="G105" s="7" t="n">
        <x:v>98</x:v>
      </x:c>
      <x:c r="I105" s="7" t="n">
        <x:v>2</x:v>
      </x:c>
      <x:c r="J105" s="7" t="s">
        <x:v>100</x:v>
      </x:c>
      <x:c r="K105" s="7" t="s">
        <x:v>102</x:v>
      </x:c>
    </x:row>
    <x:row r="106" ht="15" hidden="0">
      <x:c r="B106" s="8" t="n">
        <x:v>45643</x:v>
      </x:c>
      <x:c r="C106" s="7" t="s">
        <x:v>197</x:v>
      </x:c>
      <x:c r="D106" s="7" t="s">
        <x:v>198</x:v>
      </x:c>
      <x:c r="E106" s="7" t="s">
        <x:v>199</x:v>
      </x:c>
      <x:c r="F106" s="7" t="s">
        <x:v>99</x:v>
      </x:c>
      <x:c r="G106" s="7" t="n">
        <x:v>20</x:v>
      </x:c>
      <x:c r="I106" s="7" t="n">
        <x:v>1</x:v>
      </x:c>
      <x:c r="J106" s="7" t="s">
        <x:v>103</x:v>
      </x:c>
      <x:c r="K106" s="7" t="s">
        <x:v>102</x:v>
      </x:c>
    </x:row>
    <x:row r="107" ht="15" hidden="0">
      <x:c r="B107" s="8" t="n">
        <x:v>45643</x:v>
      </x:c>
      <x:c r="C107" s="7" t="s">
        <x:v>200</x:v>
      </x:c>
      <x:c r="D107" s="7" t="s">
        <x:v>201</x:v>
      </x:c>
      <x:c r="E107" s="7" t="s">
        <x:v>202</x:v>
      </x:c>
      <x:c r="F107" s="7" t="s">
        <x:v>99</x:v>
      </x:c>
      <x:c r="G107" s="7" t="n">
        <x:v>49</x:v>
      </x:c>
      <x:c r="I107" s="7" t="n">
        <x:v>1</x:v>
      </x:c>
      <x:c r="J107" s="7" t="s">
        <x:v>100</x:v>
      </x:c>
      <x:c r="K107" s="7" t="s">
        <x:v>101</x:v>
      </x:c>
    </x:row>
    <x:row r="108" ht="15" hidden="0">
      <x:c r="B108" s="8" t="n">
        <x:v>45643</x:v>
      </x:c>
      <x:c r="C108" s="7" t="s">
        <x:v>200</x:v>
      </x:c>
      <x:c r="D108" s="7" t="s">
        <x:v>201</x:v>
      </x:c>
      <x:c r="E108" s="7" t="s">
        <x:v>202</x:v>
      </x:c>
      <x:c r="F108" s="7" t="s">
        <x:v>99</x:v>
      </x:c>
      <x:c r="G108" s="7" t="n">
        <x:v>73</x:v>
      </x:c>
      <x:c r="I108" s="7" t="n">
        <x:v>2</x:v>
      </x:c>
      <x:c r="J108" s="7" t="s">
        <x:v>100</x:v>
      </x:c>
      <x:c r="K108" s="7" t="s">
        <x:v>102</x:v>
      </x:c>
    </x:row>
    <x:row r="109" ht="15" hidden="0">
      <x:c r="B109" s="8" t="n">
        <x:v>45643</x:v>
      </x:c>
      <x:c r="C109" s="7" t="s">
        <x:v>200</x:v>
      </x:c>
      <x:c r="D109" s="7" t="s">
        <x:v>201</x:v>
      </x:c>
      <x:c r="E109" s="7" t="s">
        <x:v>202</x:v>
      </x:c>
      <x:c r="F109" s="7" t="s">
        <x:v>99</x:v>
      </x:c>
      <x:c r="G109" s="7" t="n">
        <x:v>23</x:v>
      </x:c>
      <x:c r="I109" s="7" t="n">
        <x:v>1</x:v>
      </x:c>
      <x:c r="J109" s="7" t="s">
        <x:v>103</x:v>
      </x:c>
      <x:c r="K109" s="7" t="s">
        <x:v>102</x:v>
      </x:c>
    </x:row>
    <x:row r="110" ht="15" hidden="0">
      <x:c r="B110" s="8" t="n">
        <x:v>45643</x:v>
      </x:c>
      <x:c r="C110" s="7" t="s">
        <x:v>203</x:v>
      </x:c>
      <x:c r="D110" s="7" t="s">
        <x:v>204</x:v>
      </x:c>
      <x:c r="E110" s="7" t="s">
        <x:v>205</x:v>
      </x:c>
      <x:c r="F110" s="7" t="s">
        <x:v>99</x:v>
      </x:c>
      <x:c r="G110" s="7" t="n">
        <x:v>52</x:v>
      </x:c>
      <x:c r="I110" s="7" t="n">
        <x:v>2</x:v>
      </x:c>
      <x:c r="J110" s="7" t="s">
        <x:v>103</x:v>
      </x:c>
      <x:c r="K110" s="7" t="s">
        <x:v>102</x:v>
      </x:c>
    </x:row>
    <x:row r="111" ht="15" hidden="0">
      <x:c r="B111" s="8" t="n">
        <x:v>45643</x:v>
      </x:c>
      <x:c r="C111" s="7" t="s">
        <x:v>203</x:v>
      </x:c>
      <x:c r="D111" s="7" t="s">
        <x:v>204</x:v>
      </x:c>
      <x:c r="E111" s="7" t="s">
        <x:v>205</x:v>
      </x:c>
      <x:c r="F111" s="7" t="s">
        <x:v>99</x:v>
      </x:c>
      <x:c r="G111" s="7" t="n">
        <x:v>14</x:v>
      </x:c>
      <x:c r="I111" s="7" t="n">
        <x:v>1</x:v>
      </x:c>
      <x:c r="J111" s="7" t="s">
        <x:v>104</x:v>
      </x:c>
      <x:c r="K111" s="7" t="s">
        <x:v>102</x:v>
      </x:c>
    </x:row>
    <x:row r="112" ht="15" hidden="0">
      <x:c r="B112" s="8" t="n">
        <x:v>45643</x:v>
      </x:c>
      <x:c r="C112" s="7" t="s">
        <x:v>206</x:v>
      </x:c>
      <x:c r="D112" s="7" t="s">
        <x:v>207</x:v>
      </x:c>
      <x:c r="E112" s="7" t="s">
        <x:v>208</x:v>
      </x:c>
      <x:c r="F112" s="7" t="s">
        <x:v>99</x:v>
      </x:c>
      <x:c r="G112" s="7" t="n">
        <x:v>256</x:v>
      </x:c>
      <x:c r="I112" s="7" t="n">
        <x:v>5</x:v>
      </x:c>
      <x:c r="J112" s="7" t="s">
        <x:v>100</x:v>
      </x:c>
      <x:c r="K112" s="7" t="s">
        <x:v>102</x:v>
      </x:c>
    </x:row>
    <x:row r="113" ht="15" hidden="0">
      <x:c r="B113" s="8" t="n">
        <x:v>45643</x:v>
      </x:c>
      <x:c r="C113" s="7" t="s">
        <x:v>206</x:v>
      </x:c>
      <x:c r="D113" s="7" t="s">
        <x:v>207</x:v>
      </x:c>
      <x:c r="E113" s="7" t="s">
        <x:v>208</x:v>
      </x:c>
      <x:c r="F113" s="7" t="s">
        <x:v>99</x:v>
      </x:c>
      <x:c r="G113" s="7" t="n">
        <x:v>25</x:v>
      </x:c>
      <x:c r="I113" s="7" t="n">
        <x:v>1</x:v>
      </x:c>
      <x:c r="J113" s="7" t="s">
        <x:v>103</x:v>
      </x:c>
      <x:c r="K113" s="7" t="s">
        <x:v>102</x:v>
      </x:c>
    </x:row>
    <x:row r="114" ht="15" hidden="0">
      <x:c r="B114" s="8" t="n">
        <x:v>45643</x:v>
      </x:c>
      <x:c r="C114" s="7" t="s">
        <x:v>209</x:v>
      </x:c>
      <x:c r="D114" s="7" t="s">
        <x:v>210</x:v>
      </x:c>
      <x:c r="E114" s="7" t="s">
        <x:v>211</x:v>
      </x:c>
      <x:c r="F114" s="7" t="s">
        <x:v>99</x:v>
      </x:c>
      <x:c r="G114" s="7" t="n">
        <x:v>232</x:v>
      </x:c>
      <x:c r="I114" s="7" t="n">
        <x:v>5</x:v>
      </x:c>
      <x:c r="J114" s="7" t="s">
        <x:v>100</x:v>
      </x:c>
      <x:c r="K114" s="7" t="s">
        <x:v>102</x:v>
      </x:c>
    </x:row>
    <x:row r="115" ht="15" hidden="0">
      <x:c r="B115" s="8" t="n">
        <x:v>45643</x:v>
      </x:c>
      <x:c r="C115" s="7" t="s">
        <x:v>209</x:v>
      </x:c>
      <x:c r="D115" s="7" t="s">
        <x:v>210</x:v>
      </x:c>
      <x:c r="E115" s="7" t="s">
        <x:v>211</x:v>
      </x:c>
      <x:c r="F115" s="7" t="s">
        <x:v>99</x:v>
      </x:c>
      <x:c r="G115" s="7" t="n">
        <x:v>21</x:v>
      </x:c>
      <x:c r="I115" s="7" t="n">
        <x:v>1</x:v>
      </x:c>
      <x:c r="J115" s="7" t="s">
        <x:v>103</x:v>
      </x:c>
      <x:c r="K115" s="7" t="s">
        <x:v>102</x:v>
      </x:c>
    </x:row>
    <x:row r="116" ht="15" hidden="0">
      <x:c r="B116" s="8" t="n">
        <x:v>45646</x:v>
      </x:c>
      <x:c r="C116" s="7" t="s">
        <x:v>212</x:v>
      </x:c>
      <x:c r="D116" s="7" t="s">
        <x:v>213</x:v>
      </x:c>
      <x:c r="E116" s="7" t="s">
        <x:v>214</x:v>
      </x:c>
      <x:c r="F116" s="7" t="s">
        <x:v>99</x:v>
      </x:c>
      <x:c r="G116" s="7" t="n">
        <x:v>42</x:v>
      </x:c>
      <x:c r="I116" s="7" t="n">
        <x:v>1</x:v>
      </x:c>
      <x:c r="J116" s="7" t="s">
        <x:v>100</x:v>
      </x:c>
      <x:c r="K116" s="7" t="s">
        <x:v>101</x:v>
      </x:c>
    </x:row>
    <x:row r="117" ht="15" hidden="0">
      <x:c r="B117" s="8" t="n">
        <x:v>45646</x:v>
      </x:c>
      <x:c r="C117" s="7" t="s">
        <x:v>212</x:v>
      </x:c>
      <x:c r="D117" s="7" t="s">
        <x:v>213</x:v>
      </x:c>
      <x:c r="E117" s="7" t="s">
        <x:v>214</x:v>
      </x:c>
      <x:c r="F117" s="7" t="s">
        <x:v>99</x:v>
      </x:c>
      <x:c r="G117" s="7" t="n">
        <x:v>207</x:v>
      </x:c>
      <x:c r="I117" s="7" t="n">
        <x:v>4</x:v>
      </x:c>
      <x:c r="J117" s="7" t="s">
        <x:v>100</x:v>
      </x:c>
      <x:c r="K117" s="7" t="s">
        <x:v>102</x:v>
      </x:c>
    </x:row>
    <x:row r="118" ht="15" hidden="0">
      <x:c r="B118" s="8" t="n">
        <x:v>45646</x:v>
      </x:c>
      <x:c r="C118" s="7" t="s">
        <x:v>212</x:v>
      </x:c>
      <x:c r="D118" s="7" t="s">
        <x:v>213</x:v>
      </x:c>
      <x:c r="E118" s="7" t="s">
        <x:v>214</x:v>
      </x:c>
      <x:c r="F118" s="7" t="s">
        <x:v>99</x:v>
      </x:c>
      <x:c r="G118" s="7" t="n">
        <x:v>57</x:v>
      </x:c>
      <x:c r="I118" s="7" t="n">
        <x:v>2</x:v>
      </x:c>
      <x:c r="J118" s="7" t="s">
        <x:v>103</x:v>
      </x:c>
      <x:c r="K118" s="7" t="s">
        <x:v>102</x:v>
      </x:c>
    </x:row>
    <x:row r="119" ht="15" hidden="0">
      <x:c r="B119" s="8" t="n">
        <x:v>45646</x:v>
      </x:c>
      <x:c r="C119" s="7" t="s">
        <x:v>215</x:v>
      </x:c>
      <x:c r="D119" s="7" t="s">
        <x:v>204</x:v>
      </x:c>
      <x:c r="E119" s="7" t="s">
        <x:v>216</x:v>
      </x:c>
      <x:c r="F119" s="7" t="s">
        <x:v>99</x:v>
      </x:c>
      <x:c r="G119" s="7" t="n">
        <x:v>86</x:v>
      </x:c>
      <x:c r="I119" s="7" t="n">
        <x:v>1</x:v>
      </x:c>
      <x:c r="J119" s="7" t="s">
        <x:v>100</x:v>
      </x:c>
      <x:c r="K119" s="7" t="s">
        <x:v>101</x:v>
      </x:c>
    </x:row>
    <x:row r="120" ht="15" hidden="0">
      <x:c r="B120" s="8" t="n">
        <x:v>45646</x:v>
      </x:c>
      <x:c r="C120" s="7" t="s">
        <x:v>217</x:v>
      </x:c>
      <x:c r="D120" s="7" t="s">
        <x:v>218</x:v>
      </x:c>
      <x:c r="E120" s="7" t="s">
        <x:v>219</x:v>
      </x:c>
      <x:c r="F120" s="7" t="s">
        <x:v>99</x:v>
      </x:c>
      <x:c r="G120" s="7" t="n">
        <x:v>55</x:v>
      </x:c>
      <x:c r="I120" s="7" t="n">
        <x:v>1</x:v>
      </x:c>
      <x:c r="J120" s="7" t="s">
        <x:v>100</x:v>
      </x:c>
      <x:c r="K120" s="7" t="s">
        <x:v>102</x:v>
      </x:c>
    </x:row>
    <x:row r="121" ht="15" hidden="0">
      <x:c r="B121" s="8" t="n">
        <x:v>45646</x:v>
      </x:c>
      <x:c r="C121" s="7" t="s">
        <x:v>217</x:v>
      </x:c>
      <x:c r="D121" s="7" t="s">
        <x:v>218</x:v>
      </x:c>
      <x:c r="E121" s="7" t="s">
        <x:v>219</x:v>
      </x:c>
      <x:c r="F121" s="7" t="s">
        <x:v>99</x:v>
      </x:c>
      <x:c r="G121" s="7" t="n">
        <x:v>107</x:v>
      </x:c>
      <x:c r="I121" s="7" t="n">
        <x:v>3</x:v>
      </x:c>
      <x:c r="J121" s="7" t="s">
        <x:v>100</x:v>
      </x:c>
      <x:c r="K121" s="7" t="s">
        <x:v>102</x:v>
      </x:c>
    </x:row>
    <x:row r="122" ht="15" hidden="0">
      <x:c r="B122" s="8" t="n">
        <x:v>45646</x:v>
      </x:c>
      <x:c r="C122" s="7" t="s">
        <x:v>217</x:v>
      </x:c>
      <x:c r="D122" s="7" t="s">
        <x:v>218</x:v>
      </x:c>
      <x:c r="E122" s="7" t="s">
        <x:v>219</x:v>
      </x:c>
      <x:c r="F122" s="7" t="s">
        <x:v>99</x:v>
      </x:c>
      <x:c r="G122" s="7" t="n">
        <x:v>27</x:v>
      </x:c>
      <x:c r="I122" s="7" t="n">
        <x:v>1</x:v>
      </x:c>
      <x:c r="J122" s="7" t="s">
        <x:v>103</x:v>
      </x:c>
      <x:c r="K122" s="7" t="s">
        <x:v>102</x:v>
      </x:c>
    </x:row>
    <x:row r="123" ht="15" hidden="0">
      <x:c r="B123" s="8" t="n">
        <x:v>45649</x:v>
      </x:c>
      <x:c r="C123" s="7" t="s">
        <x:v>144</x:v>
      </x:c>
      <x:c r="D123" s="7" t="s">
        <x:v>145</x:v>
      </x:c>
      <x:c r="E123" s="7" t="s">
        <x:v>220</x:v>
      </x:c>
      <x:c r="F123" s="7" t="s">
        <x:v>99</x:v>
      </x:c>
      <x:c r="G123" s="7" t="n">
        <x:v>252</x:v>
      </x:c>
      <x:c r="I123" s="7" t="n">
        <x:v>5</x:v>
      </x:c>
      <x:c r="J123" s="7" t="s">
        <x:v>100</x:v>
      </x:c>
      <x:c r="K123" s="7" t="s">
        <x:v>102</x:v>
      </x:c>
    </x:row>
    <x:row r="124" ht="15" hidden="0">
      <x:c r="B124" s="8" t="n">
        <x:v>45649</x:v>
      </x:c>
      <x:c r="C124" s="7" t="s">
        <x:v>144</x:v>
      </x:c>
      <x:c r="D124" s="7" t="s">
        <x:v>145</x:v>
      </x:c>
      <x:c r="E124" s="7" t="s">
        <x:v>220</x:v>
      </x:c>
      <x:c r="F124" s="7" t="s">
        <x:v>99</x:v>
      </x:c>
      <x:c r="G124" s="7" t="n">
        <x:v>51</x:v>
      </x:c>
      <x:c r="I124" s="7" t="n">
        <x:v>2</x:v>
      </x:c>
      <x:c r="J124" s="7" t="s">
        <x:v>103</x:v>
      </x:c>
      <x:c r="K124" s="7" t="s">
        <x:v>102</x:v>
      </x:c>
    </x:row>
    <x:row r="125" ht="15" hidden="0">
      <x:c r="B125" s="8" t="n">
        <x:v>45650</x:v>
      </x:c>
      <x:c r="C125" s="7" t="s">
        <x:v>221</x:v>
      </x:c>
      <x:c r="D125" s="7" t="s">
        <x:v>222</x:v>
      </x:c>
      <x:c r="E125" s="7" t="s">
        <x:v>223</x:v>
      </x:c>
      <x:c r="F125" s="7" t="s">
        <x:v>99</x:v>
      </x:c>
      <x:c r="G125" s="7" t="n">
        <x:v>211</x:v>
      </x:c>
      <x:c r="I125" s="7" t="n">
        <x:v>4</x:v>
      </x:c>
      <x:c r="J125" s="7" t="s">
        <x:v>100</x:v>
      </x:c>
      <x:c r="K125" s="7" t="s">
        <x:v>101</x:v>
      </x:c>
    </x:row>
    <x:row r="126" ht="15" hidden="0">
      <x:c r="B126" s="8" t="n">
        <x:v>45650</x:v>
      </x:c>
      <x:c r="C126" s="7" t="s">
        <x:v>221</x:v>
      </x:c>
      <x:c r="D126" s="7" t="s">
        <x:v>222</x:v>
      </x:c>
      <x:c r="E126" s="7" t="s">
        <x:v>223</x:v>
      </x:c>
      <x:c r="F126" s="7" t="s">
        <x:v>99</x:v>
      </x:c>
      <x:c r="G126" s="7" t="n">
        <x:v>269</x:v>
      </x:c>
      <x:c r="I126" s="7" t="n">
        <x:v>5</x:v>
      </x:c>
      <x:c r="J126" s="7" t="s">
        <x:v>100</x:v>
      </x:c>
      <x:c r="K126" s="7" t="s">
        <x:v>102</x:v>
      </x:c>
    </x:row>
    <x:row r="127" ht="15" hidden="0">
      <x:c r="B127" s="8" t="n">
        <x:v>45650</x:v>
      </x:c>
      <x:c r="C127" s="7" t="s">
        <x:v>221</x:v>
      </x:c>
      <x:c r="D127" s="7" t="s">
        <x:v>222</x:v>
      </x:c>
      <x:c r="E127" s="7" t="s">
        <x:v>223</x:v>
      </x:c>
      <x:c r="F127" s="7" t="s">
        <x:v>99</x:v>
      </x:c>
      <x:c r="G127" s="7" t="n">
        <x:v>46</x:v>
      </x:c>
      <x:c r="I127" s="7" t="n">
        <x:v>2</x:v>
      </x:c>
      <x:c r="J127" s="7" t="s">
        <x:v>103</x:v>
      </x:c>
      <x:c r="K127" s="7" t="s">
        <x:v>102</x:v>
      </x:c>
    </x:row>
    <x:row r="128" ht="15" hidden="0">
      <x:c r="B128" s="8" t="n">
        <x:v>45652</x:v>
      </x:c>
      <x:c r="C128" s="7" t="s">
        <x:v>160</x:v>
      </x:c>
      <x:c r="D128" s="7" t="s">
        <x:v>161</x:v>
      </x:c>
      <x:c r="E128" s="7" t="s">
        <x:v>224</x:v>
      </x:c>
      <x:c r="F128" s="7" t="s">
        <x:v>99</x:v>
      </x:c>
      <x:c r="G128" s="7" t="n">
        <x:v>142</x:v>
      </x:c>
      <x:c r="I128" s="7" t="n">
        <x:v>3</x:v>
      </x:c>
      <x:c r="J128" s="7" t="s">
        <x:v>100</x:v>
      </x:c>
      <x:c r="K128" s="7" t="s">
        <x:v>102</x:v>
      </x:c>
    </x:row>
    <x:row r="129" ht="15" hidden="0">
      <x:c r="B129" s="8" t="n">
        <x:v>45652</x:v>
      </x:c>
      <x:c r="C129" s="7" t="s">
        <x:v>225</x:v>
      </x:c>
      <x:c r="D129" s="7" t="s">
        <x:v>226</x:v>
      </x:c>
      <x:c r="E129" s="7" t="s">
        <x:v>227</x:v>
      </x:c>
      <x:c r="F129" s="7" t="s">
        <x:v>99</x:v>
      </x:c>
      <x:c r="G129" s="7" t="n">
        <x:v>339</x:v>
      </x:c>
      <x:c r="I129" s="7" t="n">
        <x:v>7</x:v>
      </x:c>
      <x:c r="J129" s="7" t="s">
        <x:v>100</x:v>
      </x:c>
      <x:c r="K129" s="7" t="s">
        <x:v>101</x:v>
      </x:c>
    </x:row>
    <x:row r="130" ht="15" hidden="0">
      <x:c r="B130" s="8" t="n">
        <x:v>45652</x:v>
      </x:c>
      <x:c r="C130" s="7" t="s">
        <x:v>225</x:v>
      </x:c>
      <x:c r="D130" s="7" t="s">
        <x:v>226</x:v>
      </x:c>
      <x:c r="E130" s="7" t="s">
        <x:v>227</x:v>
      </x:c>
      <x:c r="F130" s="7" t="s">
        <x:v>99</x:v>
      </x:c>
      <x:c r="G130" s="7" t="n">
        <x:v>100</x:v>
      </x:c>
      <x:c r="I130" s="7" t="n">
        <x:v>4</x:v>
      </x:c>
      <x:c r="J130" s="7" t="s">
        <x:v>103</x:v>
      </x:c>
      <x:c r="K130" s="7" t="s">
        <x:v>102</x:v>
      </x:c>
    </x:row>
    <x:row r="131" ht="15" hidden="0">
      <x:c r="B131" s="8" t="n">
        <x:v>45652</x:v>
      </x:c>
      <x:c r="C131" s="7" t="s">
        <x:v>225</x:v>
      </x:c>
      <x:c r="D131" s="7" t="s">
        <x:v>226</x:v>
      </x:c>
      <x:c r="E131" s="7" t="s">
        <x:v>227</x:v>
      </x:c>
      <x:c r="F131" s="7" t="s">
        <x:v>99</x:v>
      </x:c>
      <x:c r="G131" s="7" t="n">
        <x:v>17</x:v>
      </x:c>
      <x:c r="I131" s="7" t="n">
        <x:v>1</x:v>
      </x:c>
      <x:c r="J131" s="7" t="s">
        <x:v>104</x:v>
      </x:c>
      <x:c r="K131" s="7" t="s">
        <x:v>102</x:v>
      </x:c>
    </x:row>
    <x:row r="132" ht="15" hidden="0">
      <x:c r="B132" s="8" t="n">
        <x:v>45653</x:v>
      </x:c>
      <x:c r="C132" s="7" t="s">
        <x:v>228</x:v>
      </x:c>
      <x:c r="D132" s="7" t="s">
        <x:v>229</x:v>
      </x:c>
      <x:c r="E132" s="7" t="s">
        <x:v>230</x:v>
      </x:c>
      <x:c r="F132" s="7" t="s">
        <x:v>99</x:v>
      </x:c>
      <x:c r="G132" s="7" t="n">
        <x:v>203</x:v>
      </x:c>
      <x:c r="I132" s="7" t="n">
        <x:v>4</x:v>
      </x:c>
      <x:c r="J132" s="7" t="s">
        <x:v>100</x:v>
      </x:c>
      <x:c r="K132" s="7" t="s">
        <x:v>101</x:v>
      </x:c>
    </x:row>
    <x:row r="133" ht="15" hidden="0">
      <x:c r="B133" s="8" t="n">
        <x:v>45653</x:v>
      </x:c>
      <x:c r="C133" s="7" t="s">
        <x:v>228</x:v>
      </x:c>
      <x:c r="D133" s="7" t="s">
        <x:v>229</x:v>
      </x:c>
      <x:c r="E133" s="7" t="s">
        <x:v>230</x:v>
      </x:c>
      <x:c r="F133" s="7" t="s">
        <x:v>99</x:v>
      </x:c>
      <x:c r="G133" s="7" t="n">
        <x:v>775</x:v>
      </x:c>
      <x:c r="I133" s="7" t="n">
        <x:v>16</x:v>
      </x:c>
      <x:c r="J133" s="7" t="s">
        <x:v>100</x:v>
      </x:c>
      <x:c r="K133" s="7" t="s">
        <x:v>102</x:v>
      </x:c>
    </x:row>
    <x:row r="134" ht="15" hidden="0">
      <x:c r="B134" s="8" t="n">
        <x:v>45653</x:v>
      </x:c>
      <x:c r="C134" s="7" t="s">
        <x:v>228</x:v>
      </x:c>
      <x:c r="D134" s="7" t="s">
        <x:v>229</x:v>
      </x:c>
      <x:c r="E134" s="7" t="s">
        <x:v>230</x:v>
      </x:c>
      <x:c r="F134" s="7" t="s">
        <x:v>99</x:v>
      </x:c>
      <x:c r="G134" s="7" t="n">
        <x:v>51</x:v>
      </x:c>
      <x:c r="I134" s="7" t="n">
        <x:v>2</x:v>
      </x:c>
      <x:c r="J134" s="7" t="s">
        <x:v>103</x:v>
      </x:c>
      <x:c r="K134" s="7" t="s">
        <x:v>102</x:v>
      </x:c>
    </x:row>
    <x:row r="135" ht="15" hidden="0">
      <x:c r="B135" s="8" t="n">
        <x:v>45653</x:v>
      </x:c>
      <x:c r="C135" s="7" t="s">
        <x:v>171</x:v>
      </x:c>
      <x:c r="D135" s="7" t="s">
        <x:v>172</x:v>
      </x:c>
      <x:c r="E135" s="7" t="s">
        <x:v>231</x:v>
      </x:c>
      <x:c r="F135" s="7" t="s">
        <x:v>99</x:v>
      </x:c>
      <x:c r="G135" s="7" t="n">
        <x:v>46</x:v>
      </x:c>
      <x:c r="I135" s="7" t="n">
        <x:v>1</x:v>
      </x:c>
      <x:c r="J135" s="7" t="s">
        <x:v>100</x:v>
      </x:c>
      <x:c r="K135" s="7" t="s">
        <x:v>101</x:v>
      </x:c>
    </x:row>
    <x:row r="136" ht="15" hidden="0">
      <x:c r="B136" s="8" t="n">
        <x:v>45653</x:v>
      </x:c>
      <x:c r="C136" s="7" t="s">
        <x:v>171</x:v>
      </x:c>
      <x:c r="D136" s="7" t="s">
        <x:v>172</x:v>
      </x:c>
      <x:c r="E136" s="7" t="s">
        <x:v>231</x:v>
      </x:c>
      <x:c r="F136" s="7" t="s">
        <x:v>99</x:v>
      </x:c>
      <x:c r="G136" s="7" t="n">
        <x:v>299</x:v>
      </x:c>
      <x:c r="I136" s="7" t="n">
        <x:v>6</x:v>
      </x:c>
      <x:c r="J136" s="7" t="s">
        <x:v>100</x:v>
      </x:c>
      <x:c r="K136" s="7" t="s">
        <x:v>102</x:v>
      </x:c>
    </x:row>
    <x:row r="137" ht="15" hidden="0">
      <x:c r="B137" s="8" t="n">
        <x:v>45653</x:v>
      </x:c>
      <x:c r="C137" s="7" t="s">
        <x:v>171</x:v>
      </x:c>
      <x:c r="D137" s="7" t="s">
        <x:v>172</x:v>
      </x:c>
      <x:c r="E137" s="7" t="s">
        <x:v>231</x:v>
      </x:c>
      <x:c r="F137" s="7" t="s">
        <x:v>99</x:v>
      </x:c>
      <x:c r="G137" s="7" t="n">
        <x:v>22</x:v>
      </x:c>
      <x:c r="I137" s="7" t="n">
        <x:v>1</x:v>
      </x:c>
      <x:c r="J137" s="7" t="s">
        <x:v>103</x:v>
      </x:c>
      <x:c r="K137" s="7" t="s">
        <x:v>102</x:v>
      </x:c>
    </x:row>
    <x:row r="138" ht="15" hidden="0">
      <x:c r="B138" s="8" t="n">
        <x:v>45653</x:v>
      </x:c>
      <x:c r="C138" s="7" t="s">
        <x:v>171</x:v>
      </x:c>
      <x:c r="D138" s="7" t="s">
        <x:v>172</x:v>
      </x:c>
      <x:c r="E138" s="7" t="s">
        <x:v>231</x:v>
      </x:c>
      <x:c r="F138" s="7" t="s">
        <x:v>99</x:v>
      </x:c>
      <x:c r="G138" s="7" t="n">
        <x:v>34</x:v>
      </x:c>
      <x:c r="I138" s="7" t="n">
        <x:v>2</x:v>
      </x:c>
      <x:c r="J138" s="7" t="s">
        <x:v>104</x:v>
      </x:c>
      <x:c r="K138" s="7" t="s">
        <x:v>102</x:v>
      </x:c>
    </x:row>
    <x:row r="139" ht="15" hidden="0">
      <x:c r="B139" s="8" t="n">
        <x:v>45654</x:v>
      </x:c>
      <x:c r="C139" s="7" t="s">
        <x:v>123</x:v>
      </x:c>
      <x:c r="D139" s="7" t="s">
        <x:v>124</x:v>
      </x:c>
      <x:c r="E139" s="7" t="s">
        <x:v>232</x:v>
      </x:c>
      <x:c r="F139" s="7" t="s">
        <x:v>99</x:v>
      </x:c>
      <x:c r="G139" s="7" t="n">
        <x:v>210</x:v>
      </x:c>
      <x:c r="I139" s="7" t="n">
        <x:v>5</x:v>
      </x:c>
      <x:c r="J139" s="7" t="s">
        <x:v>100</x:v>
      </x:c>
      <x:c r="K139" s="7" t="s">
        <x:v>102</x:v>
      </x:c>
    </x:row>
    <x:row r="140" ht="15" hidden="0">
      <x:c r="B140" s="8" t="n">
        <x:v>45654</x:v>
      </x:c>
      <x:c r="C140" s="7" t="s">
        <x:v>123</x:v>
      </x:c>
      <x:c r="D140" s="7" t="s">
        <x:v>124</x:v>
      </x:c>
      <x:c r="E140" s="7" t="s">
        <x:v>232</x:v>
      </x:c>
      <x:c r="F140" s="7" t="s">
        <x:v>99</x:v>
      </x:c>
      <x:c r="G140" s="7" t="n">
        <x:v>24</x:v>
      </x:c>
      <x:c r="I140" s="7" t="n">
        <x:v>1</x:v>
      </x:c>
      <x:c r="J140" s="7" t="s">
        <x:v>103</x:v>
      </x:c>
      <x:c r="K140" s="7" t="s">
        <x:v>102</x:v>
      </x:c>
    </x:row>
    <x:row r="141" ht="15" hidden="0">
      <x:c r="B141" s="8" t="n">
        <x:v>45654</x:v>
      </x:c>
      <x:c r="C141" s="7" t="s">
        <x:v>123</x:v>
      </x:c>
      <x:c r="D141" s="7" t="s">
        <x:v>124</x:v>
      </x:c>
      <x:c r="E141" s="7" t="s">
        <x:v>232</x:v>
      </x:c>
      <x:c r="F141" s="7" t="s">
        <x:v>99</x:v>
      </x:c>
      <x:c r="G141" s="7" t="n">
        <x:v>19</x:v>
      </x:c>
      <x:c r="I141" s="7" t="n">
        <x:v>1</x:v>
      </x:c>
      <x:c r="J141" s="7" t="s">
        <x:v>104</x:v>
      </x:c>
      <x:c r="K141" s="7" t="s">
        <x:v>102</x:v>
      </x:c>
    </x:row>
    <x:row r="142" ht="15" hidden="0">
      <x:c r="B142" s="8" t="n">
        <x:v>45654</x:v>
      </x:c>
      <x:c r="C142" s="7" t="s">
        <x:v>233</x:v>
      </x:c>
      <x:c r="D142" s="7" t="s">
        <x:v>234</x:v>
      </x:c>
      <x:c r="E142" s="7" t="s">
        <x:v>235</x:v>
      </x:c>
      <x:c r="F142" s="7" t="s">
        <x:v>99</x:v>
      </x:c>
      <x:c r="G142" s="7" t="n">
        <x:v>55</x:v>
      </x:c>
      <x:c r="I142" s="7" t="n">
        <x:v>1</x:v>
      </x:c>
      <x:c r="J142" s="7" t="s">
        <x:v>100</x:v>
      </x:c>
      <x:c r="K142" s="7" t="s">
        <x:v>101</x:v>
      </x:c>
    </x:row>
    <x:row r="143" ht="15" hidden="0">
      <x:c r="B143" s="8" t="n">
        <x:v>45654</x:v>
      </x:c>
      <x:c r="C143" s="7" t="s">
        <x:v>233</x:v>
      </x:c>
      <x:c r="D143" s="7" t="s">
        <x:v>234</x:v>
      </x:c>
      <x:c r="E143" s="7" t="s">
        <x:v>235</x:v>
      </x:c>
      <x:c r="F143" s="7" t="s">
        <x:v>99</x:v>
      </x:c>
      <x:c r="G143" s="7" t="n">
        <x:v>192</x:v>
      </x:c>
      <x:c r="I143" s="7" t="n">
        <x:v>5</x:v>
      </x:c>
      <x:c r="J143" s="7" t="s">
        <x:v>100</x:v>
      </x:c>
      <x:c r="K143" s="7" t="s">
        <x:v>102</x:v>
      </x:c>
    </x:row>
    <x:row r="144" ht="15" hidden="0">
      <x:c r="B144" s="8" t="n">
        <x:v>45654</x:v>
      </x:c>
      <x:c r="C144" s="7" t="s">
        <x:v>147</x:v>
      </x:c>
      <x:c r="D144" s="7" t="s">
        <x:v>148</x:v>
      </x:c>
      <x:c r="E144" s="7" t="s">
        <x:v>236</x:v>
      </x:c>
      <x:c r="F144" s="7" t="s">
        <x:v>99</x:v>
      </x:c>
      <x:c r="G144" s="7" t="n">
        <x:v>76</x:v>
      </x:c>
      <x:c r="I144" s="7" t="n">
        <x:v>2</x:v>
      </x:c>
      <x:c r="J144" s="7" t="s">
        <x:v>100</x:v>
      </x:c>
      <x:c r="K144" s="7" t="s">
        <x:v>102</x:v>
      </x:c>
    </x:row>
    <x:row r="145" ht="15" hidden="0">
      <x:c r="B145" s="8" t="n">
        <x:v>45654</x:v>
      </x:c>
      <x:c r="C145" s="7" t="s">
        <x:v>147</x:v>
      </x:c>
      <x:c r="D145" s="7" t="s">
        <x:v>148</x:v>
      </x:c>
      <x:c r="E145" s="7" t="s">
        <x:v>236</x:v>
      </x:c>
      <x:c r="F145" s="7" t="s">
        <x:v>99</x:v>
      </x:c>
      <x:c r="G145" s="7" t="n">
        <x:v>23</x:v>
      </x:c>
      <x:c r="I145" s="7" t="n">
        <x:v>1</x:v>
      </x:c>
      <x:c r="J145" s="7" t="s">
        <x:v>103</x:v>
      </x:c>
      <x:c r="K145" s="7" t="s">
        <x:v>102</x:v>
      </x:c>
    </x:row>
    <x:row r="146" ht="15" hidden="0">
      <x:c r="B146" s="8" t="n">
        <x:v>45654</x:v>
      </x:c>
      <x:c r="C146" s="7" t="s">
        <x:v>237</x:v>
      </x:c>
      <x:c r="D146" s="7" t="s">
        <x:v>238</x:v>
      </x:c>
      <x:c r="E146" s="7" t="s">
        <x:v>239</x:v>
      </x:c>
      <x:c r="F146" s="7" t="s">
        <x:v>99</x:v>
      </x:c>
      <x:c r="G146" s="7" t="n">
        <x:v>339</x:v>
      </x:c>
      <x:c r="H146" s="7" t="n">
        <x:v>42</x:v>
      </x:c>
      <x:c r="I146" s="7" t="n">
        <x:v>8</x:v>
      </x:c>
      <x:c r="J146" s="7" t="s">
        <x:v>100</x:v>
      </x:c>
      <x:c r="K146" s="7" t="s">
        <x:v>102</x:v>
      </x:c>
    </x:row>
    <x:row r="147" ht="15" hidden="0">
      <x:c r="B147" s="8" t="n">
        <x:v>45654</x:v>
      </x:c>
      <x:c r="C147" s="7" t="s">
        <x:v>237</x:v>
      </x:c>
      <x:c r="D147" s="7" t="s">
        <x:v>238</x:v>
      </x:c>
      <x:c r="E147" s="7" t="s">
        <x:v>239</x:v>
      </x:c>
      <x:c r="F147" s="7" t="s">
        <x:v>99</x:v>
      </x:c>
      <x:c r="G147" s="7" t="n">
        <x:v>23</x:v>
      </x:c>
      <x:c r="I147" s="7" t="n">
        <x:v>1</x:v>
      </x:c>
      <x:c r="J147" s="7" t="s">
        <x:v>103</x:v>
      </x:c>
      <x:c r="K147" s="7" t="s">
        <x:v>102</x:v>
      </x:c>
    </x:row>
    <x:row r="148" ht="15" hidden="0">
      <x:c r="B148" s="8" t="n">
        <x:v>45654</x:v>
      </x:c>
      <x:c r="C148" s="7" t="s">
        <x:v>240</x:v>
      </x:c>
      <x:c r="D148" s="7" t="s">
        <x:v>241</x:v>
      </x:c>
      <x:c r="E148" s="7" t="s">
        <x:v>242</x:v>
      </x:c>
      <x:c r="F148" s="7" t="s">
        <x:v>99</x:v>
      </x:c>
      <x:c r="G148" s="7" t="n">
        <x:v>61</x:v>
      </x:c>
      <x:c r="I148" s="7" t="n">
        <x:v>1</x:v>
      </x:c>
      <x:c r="J148" s="7" t="s">
        <x:v>100</x:v>
      </x:c>
      <x:c r="K148" s="7" t="s">
        <x:v>101</x:v>
      </x:c>
    </x:row>
    <x:row r="149" ht="15" hidden="0">
      <x:c r="B149" s="8" t="n">
        <x:v>45654</x:v>
      </x:c>
      <x:c r="C149" s="7" t="s">
        <x:v>240</x:v>
      </x:c>
      <x:c r="D149" s="7" t="s">
        <x:v>241</x:v>
      </x:c>
      <x:c r="E149" s="7" t="s">
        <x:v>242</x:v>
      </x:c>
      <x:c r="F149" s="7" t="s">
        <x:v>99</x:v>
      </x:c>
      <x:c r="G149" s="7" t="n">
        <x:v>467</x:v>
      </x:c>
      <x:c r="I149" s="7" t="n">
        <x:v>10</x:v>
      </x:c>
      <x:c r="J149" s="7" t="s">
        <x:v>100</x:v>
      </x:c>
      <x:c r="K149" s="7" t="s">
        <x:v>102</x:v>
      </x:c>
    </x:row>
    <x:row r="150" ht="15" hidden="0">
      <x:c r="B150" s="8" t="n">
        <x:v>45654</x:v>
      </x:c>
      <x:c r="C150" s="7" t="s">
        <x:v>240</x:v>
      </x:c>
      <x:c r="D150" s="7" t="s">
        <x:v>241</x:v>
      </x:c>
      <x:c r="E150" s="7" t="s">
        <x:v>242</x:v>
      </x:c>
      <x:c r="F150" s="7" t="s">
        <x:v>99</x:v>
      </x:c>
      <x:c r="G150" s="7" t="n">
        <x:v>19</x:v>
      </x:c>
      <x:c r="I150" s="7" t="n">
        <x:v>1</x:v>
      </x:c>
      <x:c r="J150" s="7" t="s">
        <x:v>104</x:v>
      </x:c>
      <x:c r="K150" s="7" t="s">
        <x:v>102</x:v>
      </x:c>
    </x:row>
    <x:row r="151" ht="15" hidden="0">
      <x:c r="B151" s="8" t="n">
        <x:v>45655</x:v>
      </x:c>
      <x:c r="C151" s="7" t="s">
        <x:v>141</x:v>
      </x:c>
      <x:c r="D151" s="7" t="s">
        <x:v>142</x:v>
      </x:c>
      <x:c r="E151" s="7" t="s">
        <x:v>243</x:v>
      </x:c>
      <x:c r="F151" s="7" t="s">
        <x:v>99</x:v>
      </x:c>
      <x:c r="G151" s="7" t="n">
        <x:v>166</x:v>
      </x:c>
      <x:c r="I151" s="7" t="n">
        <x:v>4</x:v>
      </x:c>
      <x:c r="J151" s="7" t="s">
        <x:v>100</x:v>
      </x:c>
      <x:c r="K151" s="7" t="s">
        <x:v>102</x:v>
      </x:c>
    </x:row>
    <x:row r="152" ht="15" hidden="0">
      <x:c r="B152" s="8" t="n">
        <x:v>45655</x:v>
      </x:c>
      <x:c r="C152" s="7" t="s">
        <x:v>141</x:v>
      </x:c>
      <x:c r="D152" s="7" t="s">
        <x:v>142</x:v>
      </x:c>
      <x:c r="E152" s="7" t="s">
        <x:v>243</x:v>
      </x:c>
      <x:c r="F152" s="7" t="s">
        <x:v>99</x:v>
      </x:c>
      <x:c r="G152" s="7" t="n">
        <x:v>80</x:v>
      </x:c>
      <x:c r="I152" s="7" t="n">
        <x:v>3</x:v>
      </x:c>
      <x:c r="J152" s="7" t="s">
        <x:v>103</x:v>
      </x:c>
      <x:c r="K152" s="7" t="s">
        <x:v>102</x:v>
      </x:c>
    </x:row>
    <x:row r="153" ht="15" hidden="0">
      <x:c r="B153" s="8" t="n">
        <x:v>45655</x:v>
      </x:c>
      <x:c r="C153" s="7" t="s">
        <x:v>138</x:v>
      </x:c>
      <x:c r="D153" s="7" t="s">
        <x:v>139</x:v>
      </x:c>
      <x:c r="E153" s="7" t="s">
        <x:v>244</x:v>
      </x:c>
      <x:c r="F153" s="7" t="s">
        <x:v>99</x:v>
      </x:c>
      <x:c r="G153" s="7" t="n">
        <x:v>112</x:v>
      </x:c>
      <x:c r="I153" s="7" t="n">
        <x:v>2</x:v>
      </x:c>
      <x:c r="J153" s="7" t="s">
        <x:v>100</x:v>
      </x:c>
      <x:c r="K153" s="7" t="s">
        <x:v>101</x:v>
      </x:c>
    </x:row>
    <x:row r="154" ht="15" hidden="0">
      <x:c r="B154" s="8" t="n">
        <x:v>45655</x:v>
      </x:c>
      <x:c r="C154" s="7" t="s">
        <x:v>138</x:v>
      </x:c>
      <x:c r="D154" s="7" t="s">
        <x:v>139</x:v>
      </x:c>
      <x:c r="E154" s="7" t="s">
        <x:v>244</x:v>
      </x:c>
      <x:c r="F154" s="7" t="s">
        <x:v>99</x:v>
      </x:c>
      <x:c r="G154" s="7" t="n">
        <x:v>282</x:v>
      </x:c>
      <x:c r="I154" s="7" t="n">
        <x:v>6</x:v>
      </x:c>
      <x:c r="J154" s="7" t="s">
        <x:v>100</x:v>
      </x:c>
      <x:c r="K154" s="7" t="s">
        <x:v>102</x:v>
      </x:c>
    </x:row>
    <x:row r="155" ht="15" hidden="0">
      <x:c r="B155" s="8" t="n">
        <x:v>45655</x:v>
      </x:c>
      <x:c r="C155" s="7" t="s">
        <x:v>138</x:v>
      </x:c>
      <x:c r="D155" s="7" t="s">
        <x:v>139</x:v>
      </x:c>
      <x:c r="E155" s="7" t="s">
        <x:v>244</x:v>
      </x:c>
      <x:c r="F155" s="7" t="s">
        <x:v>99</x:v>
      </x:c>
      <x:c r="G155" s="7" t="n">
        <x:v>49</x:v>
      </x:c>
      <x:c r="I155" s="7" t="n">
        <x:v>2</x:v>
      </x:c>
      <x:c r="J155" s="7" t="s">
        <x:v>103</x:v>
      </x:c>
      <x:c r="K155" s="7" t="s">
        <x:v>102</x:v>
      </x:c>
    </x:row>
    <x:row r="156" ht="15" hidden="0">
      <x:c r="B156" s="8" t="n">
        <x:v>45655</x:v>
      </x:c>
      <x:c r="C156" s="7" t="s">
        <x:v>138</x:v>
      </x:c>
      <x:c r="D156" s="7" t="s">
        <x:v>139</x:v>
      </x:c>
      <x:c r="E156" s="7" t="s">
        <x:v>244</x:v>
      </x:c>
      <x:c r="F156" s="7" t="s">
        <x:v>99</x:v>
      </x:c>
      <x:c r="G156" s="7" t="n">
        <x:v>18</x:v>
      </x:c>
      <x:c r="I156" s="7" t="n">
        <x:v>1</x:v>
      </x:c>
      <x:c r="J156" s="7" t="s">
        <x:v>104</x:v>
      </x:c>
      <x:c r="K156" s="7" t="s">
        <x:v>102</x:v>
      </x:c>
    </x:row>
    <x:row r="157" ht="15" hidden="0">
      <x:c r="B157" s="8" t="n">
        <x:v>45655</x:v>
      </x:c>
      <x:c r="C157" s="7" t="s">
        <x:v>245</x:v>
      </x:c>
      <x:c r="D157" s="7" t="s">
        <x:v>246</x:v>
      </x:c>
      <x:c r="E157" s="7" t="s">
        <x:v>247</x:v>
      </x:c>
      <x:c r="F157" s="7" t="s">
        <x:v>99</x:v>
      </x:c>
      <x:c r="G157" s="7" t="n">
        <x:v>140</x:v>
      </x:c>
      <x:c r="I157" s="7" t="n">
        <x:v>2</x:v>
      </x:c>
      <x:c r="J157" s="7" t="s">
        <x:v>100</x:v>
      </x:c>
      <x:c r="K157" s="7" t="s">
        <x:v>101</x:v>
      </x:c>
    </x:row>
    <x:row r="158" ht="15" hidden="0">
      <x:c r="B158" s="8" t="n">
        <x:v>45655</x:v>
      </x:c>
      <x:c r="C158" s="7" t="s">
        <x:v>245</x:v>
      </x:c>
      <x:c r="D158" s="7" t="s">
        <x:v>246</x:v>
      </x:c>
      <x:c r="E158" s="7" t="s">
        <x:v>247</x:v>
      </x:c>
      <x:c r="F158" s="7" t="s">
        <x:v>99</x:v>
      </x:c>
      <x:c r="G158" s="7" t="n">
        <x:v>533</x:v>
      </x:c>
      <x:c r="I158" s="7" t="n">
        <x:v>13</x:v>
      </x:c>
      <x:c r="J158" s="7" t="s">
        <x:v>100</x:v>
      </x:c>
      <x:c r="K158" s="7" t="s">
        <x:v>102</x:v>
      </x:c>
    </x:row>
    <x:row r="159" ht="15" hidden="0">
      <x:c r="B159" s="8" t="n">
        <x:v>45655</x:v>
      </x:c>
      <x:c r="C159" s="7" t="s">
        <x:v>245</x:v>
      </x:c>
      <x:c r="D159" s="7" t="s">
        <x:v>246</x:v>
      </x:c>
      <x:c r="E159" s="7" t="s">
        <x:v>247</x:v>
      </x:c>
      <x:c r="F159" s="7" t="s">
        <x:v>99</x:v>
      </x:c>
      <x:c r="G159" s="7" t="n">
        <x:v>120</x:v>
      </x:c>
      <x:c r="I159" s="7" t="n">
        <x:v>5</x:v>
      </x:c>
      <x:c r="J159" s="7" t="s">
        <x:v>103</x:v>
      </x:c>
      <x:c r="K159" s="7" t="s">
        <x:v>102</x:v>
      </x:c>
    </x:row>
    <x:row r="160" ht="15" hidden="0">
      <x:c r="B160" s="8" t="n">
        <x:v>45655</x:v>
      </x:c>
      <x:c r="C160" s="7" t="s">
        <x:v>245</x:v>
      </x:c>
      <x:c r="D160" s="7" t="s">
        <x:v>246</x:v>
      </x:c>
      <x:c r="E160" s="7" t="s">
        <x:v>247</x:v>
      </x:c>
      <x:c r="F160" s="7" t="s">
        <x:v>99</x:v>
      </x:c>
      <x:c r="G160" s="7" t="n">
        <x:v>34</x:v>
      </x:c>
      <x:c r="I160" s="7" t="n">
        <x:v>2</x:v>
      </x:c>
      <x:c r="J160" s="7" t="s">
        <x:v>104</x:v>
      </x:c>
      <x:c r="K160" s="7" t="s">
        <x:v>102</x:v>
      </x:c>
    </x:row>
    <x:row r="161" ht="15" hidden="0">
      <x:c r="B161" s="8" t="n">
        <x:v>45655</x:v>
      </x:c>
      <x:c r="C161" s="7" t="s">
        <x:v>248</x:v>
      </x:c>
      <x:c r="D161" s="7" t="s">
        <x:v>249</x:v>
      </x:c>
      <x:c r="E161" s="7" t="s">
        <x:v>250</x:v>
      </x:c>
      <x:c r="F161" s="7" t="s">
        <x:v>99</x:v>
      </x:c>
      <x:c r="G161" s="7" t="n">
        <x:v>454</x:v>
      </x:c>
      <x:c r="I161" s="7" t="n">
        <x:v>9</x:v>
      </x:c>
      <x:c r="J161" s="7" t="s">
        <x:v>100</x:v>
      </x:c>
      <x:c r="K161" s="7" t="s">
        <x:v>102</x:v>
      </x:c>
    </x:row>
    <x:row r="162" ht="15" hidden="0">
      <x:c r="B162" s="8" t="n">
        <x:v>45655</x:v>
      </x:c>
      <x:c r="C162" s="7" t="s">
        <x:v>248</x:v>
      </x:c>
      <x:c r="D162" s="7" t="s">
        <x:v>249</x:v>
      </x:c>
      <x:c r="E162" s="7" t="s">
        <x:v>250</x:v>
      </x:c>
      <x:c r="F162" s="7" t="s">
        <x:v>99</x:v>
      </x:c>
      <x:c r="G162" s="7" t="n">
        <x:v>24</x:v>
      </x:c>
      <x:c r="I162" s="7" t="n">
        <x:v>1</x:v>
      </x:c>
      <x:c r="J162" s="7" t="s">
        <x:v>103</x:v>
      </x:c>
      <x:c r="K162" s="7" t="s">
        <x:v>102</x:v>
      </x:c>
    </x:row>
    <x:row r="163" ht="15" hidden="0">
      <x:c r="B163" s="8" t="n">
        <x:v>45656</x:v>
      </x:c>
      <x:c r="C163" s="7" t="s">
        <x:v>251</x:v>
      </x:c>
      <x:c r="D163" s="7" t="s">
        <x:v>252</x:v>
      </x:c>
      <x:c r="E163" s="7" t="s">
        <x:v>253</x:v>
      </x:c>
      <x:c r="F163" s="7" t="s">
        <x:v>99</x:v>
      </x:c>
      <x:c r="G163" s="7" t="n">
        <x:v>443</x:v>
      </x:c>
      <x:c r="I163" s="7" t="n">
        <x:v>7</x:v>
      </x:c>
      <x:c r="J163" s="7" t="s">
        <x:v>100</x:v>
      </x:c>
      <x:c r="K163" s="7" t="s">
        <x:v>102</x:v>
      </x:c>
    </x:row>
    <x:row r="164" ht="15" hidden="0">
      <x:c r="B164" s="8" t="n">
        <x:v>45656</x:v>
      </x:c>
      <x:c r="C164" s="7" t="s">
        <x:v>251</x:v>
      </x:c>
      <x:c r="D164" s="7" t="s">
        <x:v>252</x:v>
      </x:c>
      <x:c r="E164" s="7" t="s">
        <x:v>253</x:v>
      </x:c>
      <x:c r="F164" s="7" t="s">
        <x:v>99</x:v>
      </x:c>
      <x:c r="G164" s="7" t="n">
        <x:v>72</x:v>
      </x:c>
      <x:c r="I164" s="7" t="n">
        <x:v>3</x:v>
      </x:c>
      <x:c r="J164" s="7" t="s">
        <x:v>103</x:v>
      </x:c>
      <x:c r="K164" s="7" t="s">
        <x:v>102</x:v>
      </x:c>
    </x:row>
    <x:row r="165" ht="15" hidden="0">
      <x:c r="B165" s="8" t="n">
        <x:v>45656</x:v>
      </x:c>
      <x:c r="C165" s="7" t="s">
        <x:v>185</x:v>
      </x:c>
      <x:c r="D165" s="7" t="s">
        <x:v>186</x:v>
      </x:c>
      <x:c r="E165" s="7" t="s">
        <x:v>254</x:v>
      </x:c>
      <x:c r="F165" s="7" t="s">
        <x:v>99</x:v>
      </x:c>
      <x:c r="G165" s="7" t="n">
        <x:v>427</x:v>
      </x:c>
      <x:c r="I165" s="7" t="n">
        <x:v>9</x:v>
      </x:c>
      <x:c r="J165" s="7" t="s">
        <x:v>100</x:v>
      </x:c>
      <x:c r="K165" s="7" t="s">
        <x:v>102</x:v>
      </x:c>
    </x:row>
    <x:row r="166" ht="15" hidden="0">
      <x:c r="B166" s="8" t="n">
        <x:v>45656</x:v>
      </x:c>
      <x:c r="C166" s="7" t="s">
        <x:v>185</x:v>
      </x:c>
      <x:c r="D166" s="7" t="s">
        <x:v>186</x:v>
      </x:c>
      <x:c r="E166" s="7" t="s">
        <x:v>254</x:v>
      </x:c>
      <x:c r="F166" s="7" t="s">
        <x:v>99</x:v>
      </x:c>
      <x:c r="G166" s="7" t="n">
        <x:v>52</x:v>
      </x:c>
      <x:c r="I166" s="7" t="n">
        <x:v>2</x:v>
      </x:c>
      <x:c r="J166" s="7" t="s">
        <x:v>103</x:v>
      </x:c>
      <x:c r="K166" s="7" t="s">
        <x:v>102</x:v>
      </x:c>
    </x:row>
    <x:row r="167" ht="15" hidden="0">
      <x:c r="B167" s="8" t="n">
        <x:v>45656</x:v>
      </x:c>
      <x:c r="C167" s="7" t="s">
        <x:v>126</x:v>
      </x:c>
      <x:c r="D167" s="7" t="s">
        <x:v>127</x:v>
      </x:c>
      <x:c r="E167" s="7" t="s">
        <x:v>255</x:v>
      </x:c>
      <x:c r="F167" s="7" t="s">
        <x:v>99</x:v>
      </x:c>
      <x:c r="G167" s="7" t="n">
        <x:v>129</x:v>
      </x:c>
      <x:c r="I167" s="7" t="n">
        <x:v>2</x:v>
      </x:c>
      <x:c r="J167" s="7" t="s">
        <x:v>100</x:v>
      </x:c>
      <x:c r="K167" s="7" t="s">
        <x:v>101</x:v>
      </x:c>
    </x:row>
    <x:row r="168" ht="15" hidden="0">
      <x:c r="B168" s="8" t="n">
        <x:v>45656</x:v>
      </x:c>
      <x:c r="C168" s="7" t="s">
        <x:v>126</x:v>
      </x:c>
      <x:c r="D168" s="7" t="s">
        <x:v>127</x:v>
      </x:c>
      <x:c r="E168" s="7" t="s">
        <x:v>255</x:v>
      </x:c>
      <x:c r="F168" s="7" t="s">
        <x:v>99</x:v>
      </x:c>
      <x:c r="G168" s="7" t="n">
        <x:v>609</x:v>
      </x:c>
      <x:c r="I168" s="7" t="n">
        <x:v>12</x:v>
      </x:c>
      <x:c r="J168" s="7" t="s">
        <x:v>100</x:v>
      </x:c>
      <x:c r="K168" s="7" t="s">
        <x:v>102</x:v>
      </x:c>
    </x:row>
    <x:row r="169" ht="15" hidden="0">
      <x:c r="B169" s="8" t="n">
        <x:v>45656</x:v>
      </x:c>
      <x:c r="C169" s="7" t="s">
        <x:v>126</x:v>
      </x:c>
      <x:c r="D169" s="7" t="s">
        <x:v>127</x:v>
      </x:c>
      <x:c r="E169" s="7" t="s">
        <x:v>255</x:v>
      </x:c>
      <x:c r="F169" s="7" t="s">
        <x:v>99</x:v>
      </x:c>
      <x:c r="G169" s="7" t="n">
        <x:v>99</x:v>
      </x:c>
      <x:c r="I169" s="7" t="n">
        <x:v>4</x:v>
      </x:c>
      <x:c r="J169" s="7" t="s">
        <x:v>103</x:v>
      </x:c>
      <x:c r="K169" s="7" t="s">
        <x:v>102</x:v>
      </x:c>
    </x:row>
    <x:row r="170" ht="15" hidden="0">
      <x:c r="B170" s="8" t="n">
        <x:v>45656</x:v>
      </x:c>
      <x:c r="C170" s="7" t="s">
        <x:v>110</x:v>
      </x:c>
      <x:c r="D170" s="7" t="s">
        <x:v>111</x:v>
      </x:c>
      <x:c r="E170" s="7" t="s">
        <x:v>256</x:v>
      </x:c>
      <x:c r="F170" s="7" t="s">
        <x:v>99</x:v>
      </x:c>
      <x:c r="G170" s="7" t="n">
        <x:v>35</x:v>
      </x:c>
      <x:c r="I170" s="7" t="n">
        <x:v>1</x:v>
      </x:c>
      <x:c r="J170" s="7" t="s">
        <x:v>100</x:v>
      </x:c>
      <x:c r="K170" s="7" t="s">
        <x:v>101</x:v>
      </x:c>
    </x:row>
    <x:row r="171" ht="15" hidden="0">
      <x:c r="B171" s="8" t="n">
        <x:v>45656</x:v>
      </x:c>
      <x:c r="C171" s="7" t="s">
        <x:v>110</x:v>
      </x:c>
      <x:c r="D171" s="7" t="s">
        <x:v>111</x:v>
      </x:c>
      <x:c r="E171" s="7" t="s">
        <x:v>256</x:v>
      </x:c>
      <x:c r="F171" s="7" t="s">
        <x:v>99</x:v>
      </x:c>
      <x:c r="G171" s="7" t="n">
        <x:v>398</x:v>
      </x:c>
      <x:c r="I171" s="7" t="n">
        <x:v>8</x:v>
      </x:c>
      <x:c r="J171" s="7" t="s">
        <x:v>100</x:v>
      </x:c>
      <x:c r="K171" s="7" t="s">
        <x:v>102</x:v>
      </x:c>
    </x:row>
    <x:row r="172" ht="15" hidden="0">
      <x:c r="B172" s="8" t="n">
        <x:v>45656</x:v>
      </x:c>
      <x:c r="C172" s="7" t="s">
        <x:v>110</x:v>
      </x:c>
      <x:c r="D172" s="7" t="s">
        <x:v>111</x:v>
      </x:c>
      <x:c r="E172" s="7" t="s">
        <x:v>256</x:v>
      </x:c>
      <x:c r="F172" s="7" t="s">
        <x:v>99</x:v>
      </x:c>
      <x:c r="G172" s="7" t="n">
        <x:v>44</x:v>
      </x:c>
      <x:c r="I172" s="7" t="n">
        <x:v>2</x:v>
      </x:c>
      <x:c r="J172" s="7" t="s">
        <x:v>103</x:v>
      </x:c>
      <x:c r="K172" s="7" t="s">
        <x:v>102</x:v>
      </x:c>
    </x:row>
    <x:row r="173" ht="15" hidden="0">
      <x:c r="B173" s="8" t="n">
        <x:v>45656</x:v>
      </x:c>
      <x:c r="C173" s="7" t="s">
        <x:v>110</x:v>
      </x:c>
      <x:c r="D173" s="7" t="s">
        <x:v>111</x:v>
      </x:c>
      <x:c r="E173" s="7" t="s">
        <x:v>256</x:v>
      </x:c>
      <x:c r="F173" s="7" t="s">
        <x:v>99</x:v>
      </x:c>
      <x:c r="G173" s="7" t="n">
        <x:v>16</x:v>
      </x:c>
      <x:c r="I173" s="7" t="n">
        <x:v>1</x:v>
      </x:c>
      <x:c r="J173" s="7" t="s">
        <x:v>104</x:v>
      </x:c>
      <x:c r="K173" s="7" t="s">
        <x:v>102</x:v>
      </x:c>
    </x:row>
    <x:row r="174" ht="15" hidden="0">
      <x:c r="B174" s="8" t="n">
        <x:v>45656</x:v>
      </x:c>
      <x:c r="C174" s="7" t="s">
        <x:v>163</x:v>
      </x:c>
      <x:c r="D174" s="7" t="s">
        <x:v>164</x:v>
      </x:c>
      <x:c r="E174" s="7" t="s">
        <x:v>257</x:v>
      </x:c>
      <x:c r="F174" s="7" t="s">
        <x:v>99</x:v>
      </x:c>
      <x:c r="G174" s="7" t="n">
        <x:v>42</x:v>
      </x:c>
      <x:c r="I174" s="7" t="n">
        <x:v>1</x:v>
      </x:c>
      <x:c r="J174" s="7" t="s">
        <x:v>100</x:v>
      </x:c>
      <x:c r="K174" s="7" t="s">
        <x:v>101</x:v>
      </x:c>
    </x:row>
    <x:row r="175" ht="15" hidden="0">
      <x:c r="B175" s="8" t="n">
        <x:v>45656</x:v>
      </x:c>
      <x:c r="C175" s="7" t="s">
        <x:v>163</x:v>
      </x:c>
      <x:c r="D175" s="7" t="s">
        <x:v>164</x:v>
      </x:c>
      <x:c r="E175" s="7" t="s">
        <x:v>257</x:v>
      </x:c>
      <x:c r="F175" s="7" t="s">
        <x:v>99</x:v>
      </x:c>
      <x:c r="G175" s="7" t="n">
        <x:v>1700</x:v>
      </x:c>
      <x:c r="I175" s="7" t="n">
        <x:v>31</x:v>
      </x:c>
      <x:c r="J175" s="7" t="s">
        <x:v>100</x:v>
      </x:c>
      <x:c r="K175" s="7" t="s">
        <x:v>102</x:v>
      </x:c>
    </x:row>
    <x:row r="176" ht="15" hidden="0">
      <x:c r="B176" s="8" t="n">
        <x:v>45656</x:v>
      </x:c>
      <x:c r="C176" s="7" t="s">
        <x:v>163</x:v>
      </x:c>
      <x:c r="D176" s="7" t="s">
        <x:v>164</x:v>
      </x:c>
      <x:c r="E176" s="7" t="s">
        <x:v>257</x:v>
      </x:c>
      <x:c r="F176" s="7" t="s">
        <x:v>99</x:v>
      </x:c>
      <x:c r="G176" s="7" t="n">
        <x:v>20</x:v>
      </x:c>
      <x:c r="I176" s="7" t="n">
        <x:v>1</x:v>
      </x:c>
      <x:c r="J176" s="7" t="s">
        <x:v>103</x:v>
      </x:c>
      <x:c r="K176" s="7" t="s">
        <x:v>102</x:v>
      </x:c>
    </x:row>
    <x:row r="177" ht="15" hidden="0">
      <x:c r="B177" s="8" t="n">
        <x:v>45656</x:v>
      </x:c>
      <x:c r="C177" s="7" t="s">
        <x:v>107</x:v>
      </x:c>
      <x:c r="D177" s="7" t="s">
        <x:v>108</x:v>
      </x:c>
      <x:c r="E177" s="7" t="s">
        <x:v>258</x:v>
      </x:c>
      <x:c r="F177" s="7" t="s">
        <x:v>99</x:v>
      </x:c>
      <x:c r="G177" s="7" t="n">
        <x:v>327</x:v>
      </x:c>
      <x:c r="I177" s="7" t="n">
        <x:v>7</x:v>
      </x:c>
      <x:c r="J177" s="7" t="s">
        <x:v>100</x:v>
      </x:c>
      <x:c r="K177" s="7" t="s">
        <x:v>102</x:v>
      </x:c>
    </x:row>
    <x:row r="178" ht="15" hidden="0">
      <x:c r="B178" s="8" t="n">
        <x:v>45656</x:v>
      </x:c>
      <x:c r="C178" s="7" t="s">
        <x:v>107</x:v>
      </x:c>
      <x:c r="D178" s="7" t="s">
        <x:v>108</x:v>
      </x:c>
      <x:c r="E178" s="7" t="s">
        <x:v>258</x:v>
      </x:c>
      <x:c r="F178" s="7" t="s">
        <x:v>99</x:v>
      </x:c>
      <x:c r="G178" s="7" t="n">
        <x:v>24</x:v>
      </x:c>
      <x:c r="I178" s="7" t="n">
        <x:v>1</x:v>
      </x:c>
      <x:c r="J178" s="7" t="s">
        <x:v>103</x:v>
      </x:c>
      <x:c r="K178" s="7" t="s">
        <x:v>102</x:v>
      </x:c>
    </x:row>
    <x:row r="179" ht="15" hidden="0">
      <x:c r="B179" s="8" t="n">
        <x:v>45659</x:v>
      </x:c>
      <x:c r="C179" s="7" t="s">
        <x:v>194</x:v>
      </x:c>
      <x:c r="D179" s="7" t="s">
        <x:v>195</x:v>
      </x:c>
      <x:c r="E179" s="7" t="s">
        <x:v>259</x:v>
      </x:c>
      <x:c r="F179" s="7" t="s">
        <x:v>99</x:v>
      </x:c>
      <x:c r="G179" s="7" t="n">
        <x:v>44</x:v>
      </x:c>
      <x:c r="I179" s="7" t="n">
        <x:v>1</x:v>
      </x:c>
      <x:c r="J179" s="7" t="s">
        <x:v>100</x:v>
      </x:c>
      <x:c r="K179" s="7" t="s">
        <x:v>101</x:v>
      </x:c>
    </x:row>
    <x:row r="180" ht="15" hidden="0">
      <x:c r="B180" s="8" t="n">
        <x:v>45659</x:v>
      </x:c>
      <x:c r="C180" s="7" t="s">
        <x:v>194</x:v>
      </x:c>
      <x:c r="D180" s="7" t="s">
        <x:v>195</x:v>
      </x:c>
      <x:c r="E180" s="7" t="s">
        <x:v>259</x:v>
      </x:c>
      <x:c r="F180" s="7" t="s">
        <x:v>99</x:v>
      </x:c>
      <x:c r="G180" s="7" t="n">
        <x:v>729</x:v>
      </x:c>
      <x:c r="I180" s="7" t="n">
        <x:v>15</x:v>
      </x:c>
      <x:c r="J180" s="7" t="s">
        <x:v>100</x:v>
      </x:c>
      <x:c r="K180" s="7" t="s">
        <x:v>102</x:v>
      </x:c>
    </x:row>
    <x:row r="181" ht="15" hidden="0">
      <x:c r="B181" s="8" t="n">
        <x:v>45659</x:v>
      </x:c>
      <x:c r="C181" s="7" t="s">
        <x:v>194</x:v>
      </x:c>
      <x:c r="D181" s="7" t="s">
        <x:v>195</x:v>
      </x:c>
      <x:c r="E181" s="7" t="s">
        <x:v>259</x:v>
      </x:c>
      <x:c r="F181" s="7" t="s">
        <x:v>99</x:v>
      </x:c>
      <x:c r="G181" s="7" t="n">
        <x:v>40</x:v>
      </x:c>
      <x:c r="I181" s="7" t="n">
        <x:v>2</x:v>
      </x:c>
      <x:c r="J181" s="7" t="s">
        <x:v>103</x:v>
      </x:c>
      <x:c r="K181" s="7" t="s">
        <x:v>102</x:v>
      </x:c>
    </x:row>
    <x:row r="182" ht="15" hidden="0">
      <x:c r="B182" s="8" t="n">
        <x:v>45659</x:v>
      </x:c>
      <x:c r="C182" s="7" t="s">
        <x:v>194</x:v>
      </x:c>
      <x:c r="D182" s="7" t="s">
        <x:v>195</x:v>
      </x:c>
      <x:c r="E182" s="7" t="s">
        <x:v>259</x:v>
      </x:c>
      <x:c r="F182" s="7" t="s">
        <x:v>99</x:v>
      </x:c>
      <x:c r="G182" s="7" t="n">
        <x:v>33</x:v>
      </x:c>
      <x:c r="I182" s="7" t="n">
        <x:v>2</x:v>
      </x:c>
      <x:c r="J182" s="7" t="s">
        <x:v>104</x:v>
      </x:c>
      <x:c r="K182" s="7" t="s">
        <x:v>102</x:v>
      </x:c>
    </x:row>
    <x:row r="183" ht="15" hidden="0">
      <x:c r="B183" s="8" t="n">
        <x:v>45659</x:v>
      </x:c>
      <x:c r="C183" s="7" t="s">
        <x:v>157</x:v>
      </x:c>
      <x:c r="D183" s="7" t="s">
        <x:v>158</x:v>
      </x:c>
      <x:c r="E183" s="7" t="s">
        <x:v>260</x:v>
      </x:c>
      <x:c r="F183" s="7" t="s">
        <x:v>99</x:v>
      </x:c>
      <x:c r="G183" s="7" t="n">
        <x:v>546</x:v>
      </x:c>
      <x:c r="I183" s="7" t="n">
        <x:v>10</x:v>
      </x:c>
      <x:c r="J183" s="7" t="s">
        <x:v>100</x:v>
      </x:c>
      <x:c r="K183" s="7" t="s">
        <x:v>102</x:v>
      </x:c>
    </x:row>
    <x:row r="184" ht="15" hidden="0">
      <x:c r="B184" s="8" t="n">
        <x:v>45659</x:v>
      </x:c>
      <x:c r="C184" s="7" t="s">
        <x:v>157</x:v>
      </x:c>
      <x:c r="D184" s="7" t="s">
        <x:v>158</x:v>
      </x:c>
      <x:c r="E184" s="7" t="s">
        <x:v>260</x:v>
      </x:c>
      <x:c r="F184" s="7" t="s">
        <x:v>99</x:v>
      </x:c>
      <x:c r="G184" s="7" t="n">
        <x:v>22</x:v>
      </x:c>
      <x:c r="I184" s="7" t="n">
        <x:v>1</x:v>
      </x:c>
      <x:c r="J184" s="7" t="s">
        <x:v>103</x:v>
      </x:c>
      <x:c r="K184" s="7" t="s">
        <x:v>102</x:v>
      </x:c>
    </x:row>
    <x:row r="185" ht="15" hidden="0">
      <x:c r="B185" s="8" t="n">
        <x:v>45659</x:v>
      </x:c>
      <x:c r="C185" s="7" t="s">
        <x:v>157</x:v>
      </x:c>
      <x:c r="D185" s="7" t="s">
        <x:v>158</x:v>
      </x:c>
      <x:c r="E185" s="7" t="s">
        <x:v>260</x:v>
      </x:c>
      <x:c r="F185" s="7" t="s">
        <x:v>99</x:v>
      </x:c>
      <x:c r="G185" s="7" t="n">
        <x:v>19</x:v>
      </x:c>
      <x:c r="I185" s="7" t="n">
        <x:v>1</x:v>
      </x:c>
      <x:c r="J185" s="7" t="s">
        <x:v>104</x:v>
      </x:c>
      <x:c r="K185" s="7" t="s">
        <x:v>102</x:v>
      </x:c>
    </x:row>
    <x:row r="186" ht="15" hidden="0">
      <x:c r="B186" s="8" t="n">
        <x:v>45659</x:v>
      </x:c>
      <x:c r="C186" s="7" t="s">
        <x:v>197</x:v>
      </x:c>
      <x:c r="D186" s="7" t="s">
        <x:v>198</x:v>
      </x:c>
      <x:c r="E186" s="7" t="s">
        <x:v>261</x:v>
      </x:c>
      <x:c r="F186" s="7" t="s">
        <x:v>99</x:v>
      </x:c>
      <x:c r="G186" s="7" t="n">
        <x:v>231</x:v>
      </x:c>
      <x:c r="I186" s="7" t="n">
        <x:v>4</x:v>
      </x:c>
      <x:c r="J186" s="7" t="s">
        <x:v>100</x:v>
      </x:c>
      <x:c r="K186" s="7" t="s">
        <x:v>102</x:v>
      </x:c>
    </x:row>
    <x:row r="187" ht="15" hidden="0">
      <x:c r="B187" s="8" t="n">
        <x:v>45659</x:v>
      </x:c>
      <x:c r="C187" s="7" t="s">
        <x:v>197</x:v>
      </x:c>
      <x:c r="D187" s="7" t="s">
        <x:v>198</x:v>
      </x:c>
      <x:c r="E187" s="7" t="s">
        <x:v>261</x:v>
      </x:c>
      <x:c r="F187" s="7" t="s">
        <x:v>99</x:v>
      </x:c>
      <x:c r="G187" s="7" t="n">
        <x:v>63</x:v>
      </x:c>
      <x:c r="I187" s="7" t="n">
        <x:v>3</x:v>
      </x:c>
      <x:c r="J187" s="7" t="s">
        <x:v>103</x:v>
      </x:c>
      <x:c r="K187" s="7" t="s">
        <x:v>102</x:v>
      </x:c>
    </x:row>
    <x:row r="188" ht="15" hidden="0">
      <x:c r="B188" s="8" t="n">
        <x:v>45659</x:v>
      </x:c>
      <x:c r="C188" s="7" t="s">
        <x:v>197</x:v>
      </x:c>
      <x:c r="D188" s="7" t="s">
        <x:v>198</x:v>
      </x:c>
      <x:c r="E188" s="7" t="s">
        <x:v>261</x:v>
      </x:c>
      <x:c r="F188" s="7" t="s">
        <x:v>99</x:v>
      </x:c>
      <x:c r="G188" s="7" t="n">
        <x:v>47</x:v>
      </x:c>
      <x:c r="I188" s="7" t="n">
        <x:v>3</x:v>
      </x:c>
      <x:c r="J188" s="7" t="s">
        <x:v>104</x:v>
      </x:c>
      <x:c r="K188" s="7" t="s">
        <x:v>102</x:v>
      </x:c>
    </x:row>
    <x:row r="189" ht="15" hidden="0">
      <x:c r="B189" s="8" t="n">
        <x:v>45660</x:v>
      </x:c>
      <x:c r="C189" s="7" t="s">
        <x:v>262</x:v>
      </x:c>
      <x:c r="D189" s="7" t="s">
        <x:v>263</x:v>
      </x:c>
      <x:c r="E189" s="7" t="s">
        <x:v>264</x:v>
      </x:c>
      <x:c r="F189" s="7" t="s">
        <x:v>99</x:v>
      </x:c>
      <x:c r="G189" s="7" t="n">
        <x:v>609</x:v>
      </x:c>
      <x:c r="I189" s="7" t="n">
        <x:v>13</x:v>
      </x:c>
      <x:c r="J189" s="7" t="s">
        <x:v>100</x:v>
      </x:c>
      <x:c r="K189" s="7" t="s">
        <x:v>102</x:v>
      </x:c>
    </x:row>
    <x:row r="190" ht="15" hidden="0">
      <x:c r="B190" s="8" t="n">
        <x:v>45660</x:v>
      </x:c>
      <x:c r="C190" s="7" t="s">
        <x:v>262</x:v>
      </x:c>
      <x:c r="D190" s="7" t="s">
        <x:v>263</x:v>
      </x:c>
      <x:c r="E190" s="7" t="s">
        <x:v>264</x:v>
      </x:c>
      <x:c r="F190" s="7" t="s">
        <x:v>99</x:v>
      </x:c>
      <x:c r="G190" s="7" t="n">
        <x:v>113</x:v>
      </x:c>
      <x:c r="I190" s="7" t="n">
        <x:v>5</x:v>
      </x:c>
      <x:c r="J190" s="7" t="s">
        <x:v>103</x:v>
      </x:c>
      <x:c r="K190" s="7" t="s">
        <x:v>102</x:v>
      </x:c>
    </x:row>
    <x:row r="191" ht="15" hidden="0">
      <x:c r="B191" s="8" t="n">
        <x:v>45660</x:v>
      </x:c>
      <x:c r="C191" s="7" t="s">
        <x:v>262</x:v>
      </x:c>
      <x:c r="D191" s="7" t="s">
        <x:v>263</x:v>
      </x:c>
      <x:c r="E191" s="7" t="s">
        <x:v>264</x:v>
      </x:c>
      <x:c r="F191" s="7" t="s">
        <x:v>99</x:v>
      </x:c>
      <x:c r="G191" s="7" t="n">
        <x:v>108</x:v>
      </x:c>
      <x:c r="I191" s="7" t="n">
        <x:v>5</x:v>
      </x:c>
      <x:c r="J191" s="7" t="s">
        <x:v>104</x:v>
      </x:c>
      <x:c r="K191" s="7" t="s">
        <x:v>102</x:v>
      </x:c>
    </x:row>
    <x:row r="192" ht="15" hidden="0">
      <x:c r="B192" s="8" t="n">
        <x:v>45664</x:v>
      </x:c>
      <x:c r="C192" s="7" t="s">
        <x:v>217</x:v>
      </x:c>
      <x:c r="D192" s="7" t="s">
        <x:v>218</x:v>
      </x:c>
      <x:c r="E192" s="7" t="s">
        <x:v>265</x:v>
      </x:c>
      <x:c r="F192" s="7" t="s">
        <x:v>99</x:v>
      </x:c>
      <x:c r="G192" s="7" t="n">
        <x:v>101</x:v>
      </x:c>
      <x:c r="I192" s="7" t="n">
        <x:v>2</x:v>
      </x:c>
      <x:c r="J192" s="7" t="s">
        <x:v>100</x:v>
      </x:c>
      <x:c r="K192" s="7" t="s">
        <x:v>101</x:v>
      </x:c>
    </x:row>
    <x:row r="193" ht="15" hidden="0">
      <x:c r="B193" s="8" t="n">
        <x:v>45664</x:v>
      </x:c>
      <x:c r="C193" s="7" t="s">
        <x:v>217</x:v>
      </x:c>
      <x:c r="D193" s="7" t="s">
        <x:v>218</x:v>
      </x:c>
      <x:c r="E193" s="7" t="s">
        <x:v>265</x:v>
      </x:c>
      <x:c r="F193" s="7" t="s">
        <x:v>99</x:v>
      </x:c>
      <x:c r="G193" s="7" t="n">
        <x:v>684</x:v>
      </x:c>
      <x:c r="I193" s="7" t="n">
        <x:v>16</x:v>
      </x:c>
      <x:c r="J193" s="7" t="s">
        <x:v>100</x:v>
      </x:c>
      <x:c r="K193" s="7" t="s">
        <x:v>102</x:v>
      </x:c>
    </x:row>
    <x:row r="194" ht="15" hidden="0">
      <x:c r="B194" s="8" t="n">
        <x:v>45664</x:v>
      </x:c>
      <x:c r="C194" s="7" t="s">
        <x:v>217</x:v>
      </x:c>
      <x:c r="D194" s="7" t="s">
        <x:v>218</x:v>
      </x:c>
      <x:c r="E194" s="7" t="s">
        <x:v>265</x:v>
      </x:c>
      <x:c r="F194" s="7" t="s">
        <x:v>99</x:v>
      </x:c>
      <x:c r="G194" s="7" t="n">
        <x:v>121</x:v>
      </x:c>
      <x:c r="I194" s="7" t="n">
        <x:v>5</x:v>
      </x:c>
      <x:c r="J194" s="7" t="s">
        <x:v>103</x:v>
      </x:c>
      <x:c r="K194" s="7" t="s">
        <x:v>102</x:v>
      </x:c>
    </x:row>
    <x:row r="195" ht="15" hidden="0">
      <x:c r="B195" s="8" t="n">
        <x:v>45664</x:v>
      </x:c>
      <x:c r="C195" s="7" t="s">
        <x:v>217</x:v>
      </x:c>
      <x:c r="D195" s="7" t="s">
        <x:v>218</x:v>
      </x:c>
      <x:c r="E195" s="7" t="s">
        <x:v>265</x:v>
      </x:c>
      <x:c r="F195" s="7" t="s">
        <x:v>99</x:v>
      </x:c>
      <x:c r="G195" s="7" t="n">
        <x:v>17</x:v>
      </x:c>
      <x:c r="I195" s="7" t="n">
        <x:v>1</x:v>
      </x:c>
      <x:c r="J195" s="7" t="s">
        <x:v>104</x:v>
      </x:c>
      <x:c r="K195" s="7" t="s">
        <x:v>102</x:v>
      </x:c>
    </x:row>
    <x:row r="196" ht="15" hidden="0">
      <x:c r="B196" s="8" t="n">
        <x:v>45666</x:v>
      </x:c>
      <x:c r="C196" s="7" t="s">
        <x:v>266</x:v>
      </x:c>
      <x:c r="D196" s="7" t="s">
        <x:v>267</x:v>
      </x:c>
      <x:c r="E196" s="7" t="s">
        <x:v>268</x:v>
      </x:c>
      <x:c r="F196" s="7" t="s">
        <x:v>99</x:v>
      </x:c>
      <x:c r="G196" s="7" t="n">
        <x:v>375</x:v>
      </x:c>
      <x:c r="I196" s="7" t="n">
        <x:v>9</x:v>
      </x:c>
      <x:c r="J196" s="7" t="s">
        <x:v>100</x:v>
      </x:c>
      <x:c r="K196" s="7" t="s">
        <x:v>102</x:v>
      </x:c>
    </x:row>
    <x:row r="197" ht="15" hidden="0">
      <x:c r="B197" s="8" t="n">
        <x:v>45666</x:v>
      </x:c>
      <x:c r="C197" s="7" t="s">
        <x:v>269</x:v>
      </x:c>
      <x:c r="D197" s="7" t="s">
        <x:v>270</x:v>
      </x:c>
      <x:c r="E197" s="7" t="s">
        <x:v>271</x:v>
      </x:c>
      <x:c r="F197" s="7" t="s">
        <x:v>99</x:v>
      </x:c>
      <x:c r="G197" s="7" t="n">
        <x:v>55</x:v>
      </x:c>
      <x:c r="I197" s="7" t="n">
        <x:v>1</x:v>
      </x:c>
      <x:c r="J197" s="7" t="s">
        <x:v>100</x:v>
      </x:c>
      <x:c r="K197" s="7" t="s">
        <x:v>101</x:v>
      </x:c>
    </x:row>
    <x:row r="198" ht="15" hidden="0">
      <x:c r="B198" s="8" t="n">
        <x:v>45666</x:v>
      </x:c>
      <x:c r="C198" s="7" t="s">
        <x:v>269</x:v>
      </x:c>
      <x:c r="D198" s="7" t="s">
        <x:v>270</x:v>
      </x:c>
      <x:c r="E198" s="7" t="s">
        <x:v>271</x:v>
      </x:c>
      <x:c r="F198" s="7" t="s">
        <x:v>99</x:v>
      </x:c>
      <x:c r="G198" s="7" t="n">
        <x:v>389</x:v>
      </x:c>
      <x:c r="I198" s="7" t="n">
        <x:v>8</x:v>
      </x:c>
      <x:c r="J198" s="7" t="s">
        <x:v>100</x:v>
      </x:c>
      <x:c r="K198" s="7" t="s">
        <x:v>102</x:v>
      </x:c>
    </x:row>
    <x:row r="199" ht="15" hidden="0">
      <x:c r="B199" s="8" t="n">
        <x:v>45666</x:v>
      </x:c>
      <x:c r="C199" s="7" t="s">
        <x:v>269</x:v>
      </x:c>
      <x:c r="D199" s="7" t="s">
        <x:v>270</x:v>
      </x:c>
      <x:c r="E199" s="7" t="s">
        <x:v>271</x:v>
      </x:c>
      <x:c r="F199" s="7" t="s">
        <x:v>99</x:v>
      </x:c>
      <x:c r="G199" s="7" t="n">
        <x:v>143</x:v>
      </x:c>
      <x:c r="I199" s="7" t="n">
        <x:v>6</x:v>
      </x:c>
      <x:c r="J199" s="7" t="s">
        <x:v>103</x:v>
      </x:c>
      <x:c r="K199" s="7" t="s">
        <x:v>102</x:v>
      </x:c>
    </x:row>
    <x:row r="200" ht="15" hidden="0">
      <x:c r="B200" s="8" t="n">
        <x:v>45666</x:v>
      </x:c>
      <x:c r="C200" s="7" t="s">
        <x:v>269</x:v>
      </x:c>
      <x:c r="D200" s="7" t="s">
        <x:v>270</x:v>
      </x:c>
      <x:c r="E200" s="7" t="s">
        <x:v>271</x:v>
      </x:c>
      <x:c r="F200" s="7" t="s">
        <x:v>99</x:v>
      </x:c>
      <x:c r="G200" s="7" t="n">
        <x:v>55</x:v>
      </x:c>
      <x:c r="I200" s="7" t="n">
        <x:v>3</x:v>
      </x:c>
      <x:c r="J200" s="7" t="s">
        <x:v>104</x:v>
      </x:c>
      <x:c r="K200" s="7" t="s">
        <x:v>102</x:v>
      </x:c>
    </x:row>
    <x:row r="201" ht="15" hidden="0">
      <x:c r="B201" s="8" t="n">
        <x:v>45666</x:v>
      </x:c>
      <x:c r="C201" s="7" t="s">
        <x:v>160</x:v>
      </x:c>
      <x:c r="D201" s="7" t="s">
        <x:v>161</x:v>
      </x:c>
      <x:c r="E201" s="7" t="s">
        <x:v>272</x:v>
      </x:c>
      <x:c r="F201" s="7" t="s">
        <x:v>99</x:v>
      </x:c>
      <x:c r="G201" s="7" t="n">
        <x:v>258</x:v>
      </x:c>
      <x:c r="I201" s="7" t="n">
        <x:v>5</x:v>
      </x:c>
      <x:c r="J201" s="7" t="s">
        <x:v>100</x:v>
      </x:c>
      <x:c r="K201" s="7" t="s">
        <x:v>102</x:v>
      </x:c>
    </x:row>
    <x:row r="202" ht="15" hidden="0">
      <x:c r="B202" s="8" t="n">
        <x:v>45666</x:v>
      </x:c>
      <x:c r="C202" s="7" t="s">
        <x:v>160</x:v>
      </x:c>
      <x:c r="D202" s="7" t="s">
        <x:v>161</x:v>
      </x:c>
      <x:c r="E202" s="7" t="s">
        <x:v>272</x:v>
      </x:c>
      <x:c r="F202" s="7" t="s">
        <x:v>99</x:v>
      </x:c>
      <x:c r="G202" s="7" t="n">
        <x:v>17</x:v>
      </x:c>
      <x:c r="I202" s="7" t="n">
        <x:v>1</x:v>
      </x:c>
      <x:c r="J202" s="7" t="s">
        <x:v>104</x:v>
      </x:c>
      <x:c r="K202" s="7" t="s">
        <x:v>102</x:v>
      </x:c>
    </x:row>
    <x:row r="203" ht="15" hidden="0">
      <x:c r="B203" s="8" t="n">
        <x:v>45666</x:v>
      </x:c>
      <x:c r="C203" s="7" t="s">
        <x:v>248</x:v>
      </x:c>
      <x:c r="D203" s="7" t="s">
        <x:v>249</x:v>
      </x:c>
      <x:c r="E203" s="7" t="s">
        <x:v>273</x:v>
      </x:c>
      <x:c r="F203" s="7" t="s">
        <x:v>99</x:v>
      </x:c>
      <x:c r="G203" s="7" t="n">
        <x:v>198</x:v>
      </x:c>
      <x:c r="I203" s="7" t="n">
        <x:v>4</x:v>
      </x:c>
      <x:c r="J203" s="7" t="s">
        <x:v>100</x:v>
      </x:c>
      <x:c r="K203" s="7" t="s">
        <x:v>102</x:v>
      </x:c>
    </x:row>
    <x:row r="204" ht="15" hidden="0">
      <x:c r="B204" s="8" t="n">
        <x:v>45666</x:v>
      </x:c>
      <x:c r="C204" s="7" t="s">
        <x:v>274</x:v>
      </x:c>
      <x:c r="D204" s="7" t="s">
        <x:v>183</x:v>
      </x:c>
      <x:c r="E204" s="7" t="s">
        <x:v>275</x:v>
      </x:c>
      <x:c r="F204" s="7" t="s">
        <x:v>99</x:v>
      </x:c>
      <x:c r="G204" s="7" t="n">
        <x:v>60</x:v>
      </x:c>
      <x:c r="I204" s="7" t="n">
        <x:v>1</x:v>
      </x:c>
      <x:c r="J204" s="7" t="s">
        <x:v>100</x:v>
      </x:c>
      <x:c r="K204" s="7" t="s">
        <x:v>101</x:v>
      </x:c>
    </x:row>
    <x:row r="205" ht="15" hidden="0">
      <x:c r="B205" s="8" t="n">
        <x:v>45666</x:v>
      </x:c>
      <x:c r="C205" s="7" t="s">
        <x:v>274</x:v>
      </x:c>
      <x:c r="D205" s="7" t="s">
        <x:v>183</x:v>
      </x:c>
      <x:c r="E205" s="7" t="s">
        <x:v>275</x:v>
      </x:c>
      <x:c r="F205" s="7" t="s">
        <x:v>99</x:v>
      </x:c>
      <x:c r="G205" s="7" t="n">
        <x:v>224</x:v>
      </x:c>
      <x:c r="I205" s="7" t="n">
        <x:v>5</x:v>
      </x:c>
      <x:c r="J205" s="7" t="s">
        <x:v>100</x:v>
      </x:c>
      <x:c r="K205" s="7" t="s">
        <x:v>102</x:v>
      </x:c>
    </x:row>
    <x:row r="206" ht="15" hidden="0">
      <x:c r="B206" s="8" t="n">
        <x:v>45666</x:v>
      </x:c>
      <x:c r="C206" s="7" t="s">
        <x:v>274</x:v>
      </x:c>
      <x:c r="D206" s="7" t="s">
        <x:v>183</x:v>
      </x:c>
      <x:c r="E206" s="7" t="s">
        <x:v>275</x:v>
      </x:c>
      <x:c r="F206" s="7" t="s">
        <x:v>99</x:v>
      </x:c>
      <x:c r="G206" s="7" t="n">
        <x:v>69</x:v>
      </x:c>
      <x:c r="I206" s="7" t="n">
        <x:v>3</x:v>
      </x:c>
      <x:c r="J206" s="7" t="s">
        <x:v>103</x:v>
      </x:c>
      <x:c r="K206" s="7" t="s">
        <x:v>102</x:v>
      </x:c>
    </x:row>
    <x:row r="207" ht="15" hidden="0">
      <x:c r="B207" s="8" t="n">
        <x:v>45666</x:v>
      </x:c>
      <x:c r="C207" s="7" t="s">
        <x:v>274</x:v>
      </x:c>
      <x:c r="D207" s="7" t="s">
        <x:v>183</x:v>
      </x:c>
      <x:c r="E207" s="7" t="s">
        <x:v>275</x:v>
      </x:c>
      <x:c r="F207" s="7" t="s">
        <x:v>99</x:v>
      </x:c>
      <x:c r="G207" s="7" t="n">
        <x:v>19</x:v>
      </x:c>
      <x:c r="I207" s="7" t="n">
        <x:v>1</x:v>
      </x:c>
      <x:c r="J207" s="7" t="s">
        <x:v>104</x:v>
      </x:c>
      <x:c r="K207" s="7" t="s">
        <x:v>102</x:v>
      </x:c>
    </x:row>
    <x:row r="208" ht="15" hidden="0">
      <x:c r="B208" s="8" t="n">
        <x:v>45666</x:v>
      </x:c>
      <x:c r="C208" s="7" t="s">
        <x:v>221</x:v>
      </x:c>
      <x:c r="D208" s="7" t="s">
        <x:v>222</x:v>
      </x:c>
      <x:c r="E208" s="7" t="s">
        <x:v>276</x:v>
      </x:c>
      <x:c r="F208" s="7" t="s">
        <x:v>99</x:v>
      </x:c>
      <x:c r="G208" s="7" t="n">
        <x:v>352</x:v>
      </x:c>
      <x:c r="I208" s="7" t="n">
        <x:v>8</x:v>
      </x:c>
      <x:c r="J208" s="7" t="s">
        <x:v>100</x:v>
      </x:c>
      <x:c r="K208" s="7" t="s">
        <x:v>102</x:v>
      </x:c>
    </x:row>
    <x:row r="209" ht="15" hidden="0">
      <x:c r="B209" s="8" t="n">
        <x:v>45666</x:v>
      </x:c>
      <x:c r="C209" s="7" t="s">
        <x:v>221</x:v>
      </x:c>
      <x:c r="D209" s="7" t="s">
        <x:v>222</x:v>
      </x:c>
      <x:c r="E209" s="7" t="s">
        <x:v>276</x:v>
      </x:c>
      <x:c r="F209" s="7" t="s">
        <x:v>99</x:v>
      </x:c>
      <x:c r="G209" s="7" t="n">
        <x:v>80</x:v>
      </x:c>
      <x:c r="I209" s="7" t="n">
        <x:v>3</x:v>
      </x:c>
      <x:c r="J209" s="7" t="s">
        <x:v>103</x:v>
      </x:c>
      <x:c r="K209" s="7" t="s">
        <x:v>102</x:v>
      </x:c>
    </x:row>
    <x:row r="210" ht="15" hidden="0">
      <x:c r="B210" s="8" t="n">
        <x:v>45667</x:v>
      </x:c>
      <x:c r="C210" s="7" t="s">
        <x:v>206</x:v>
      </x:c>
      <x:c r="D210" s="7" t="s">
        <x:v>207</x:v>
      </x:c>
      <x:c r="E210" s="7" t="s">
        <x:v>277</x:v>
      </x:c>
      <x:c r="F210" s="7" t="s">
        <x:v>99</x:v>
      </x:c>
      <x:c r="G210" s="7" t="n">
        <x:v>171</x:v>
      </x:c>
      <x:c r="I210" s="7" t="n">
        <x:v>3</x:v>
      </x:c>
      <x:c r="J210" s="7" t="s">
        <x:v>100</x:v>
      </x:c>
      <x:c r="K210" s="7" t="s">
        <x:v>102</x:v>
      </x:c>
    </x:row>
    <x:row r="211" ht="15" hidden="0">
      <x:c r="B211" s="8" t="n">
        <x:v>45667</x:v>
      </x:c>
      <x:c r="C211" s="7" t="s">
        <x:v>135</x:v>
      </x:c>
      <x:c r="D211" s="7" t="s">
        <x:v>136</x:v>
      </x:c>
      <x:c r="E211" s="7" t="s">
        <x:v>278</x:v>
      </x:c>
      <x:c r="F211" s="7" t="s">
        <x:v>99</x:v>
      </x:c>
      <x:c r="G211" s="7" t="n">
        <x:v>205</x:v>
      </x:c>
      <x:c r="I211" s="7" t="n">
        <x:v>4</x:v>
      </x:c>
      <x:c r="J211" s="7" t="s">
        <x:v>100</x:v>
      </x:c>
      <x:c r="K211" s="7" t="s">
        <x:v>102</x:v>
      </x:c>
    </x:row>
    <x:row r="212" ht="15" hidden="0">
      <x:c r="B212" s="8" t="n">
        <x:v>45667</x:v>
      </x:c>
      <x:c r="C212" s="7" t="s">
        <x:v>135</x:v>
      </x:c>
      <x:c r="D212" s="7" t="s">
        <x:v>136</x:v>
      </x:c>
      <x:c r="E212" s="7" t="s">
        <x:v>278</x:v>
      </x:c>
      <x:c r="F212" s="7" t="s">
        <x:v>99</x:v>
      </x:c>
      <x:c r="G212" s="7" t="n">
        <x:v>21</x:v>
      </x:c>
      <x:c r="I212" s="7" t="n">
        <x:v>1</x:v>
      </x:c>
      <x:c r="J212" s="7" t="s">
        <x:v>103</x:v>
      </x:c>
      <x:c r="K212" s="7" t="s">
        <x:v>102</x:v>
      </x:c>
    </x:row>
    <x:row r="213" ht="15" hidden="0">
      <x:c r="B213" s="8" t="n">
        <x:v>45667</x:v>
      </x:c>
      <x:c r="C213" s="7" t="s">
        <x:v>200</x:v>
      </x:c>
      <x:c r="D213" s="7" t="s">
        <x:v>201</x:v>
      </x:c>
      <x:c r="E213" s="7" t="s">
        <x:v>279</x:v>
      </x:c>
      <x:c r="F213" s="7" t="s">
        <x:v>99</x:v>
      </x:c>
      <x:c r="G213" s="7" t="n">
        <x:v>356</x:v>
      </x:c>
      <x:c r="I213" s="7" t="n">
        <x:v>7</x:v>
      </x:c>
      <x:c r="J213" s="7" t="s">
        <x:v>100</x:v>
      </x:c>
      <x:c r="K213" s="7" t="s">
        <x:v>102</x:v>
      </x:c>
    </x:row>
    <x:row r="214" ht="15" hidden="0">
      <x:c r="B214" s="8" t="n">
        <x:v>45667</x:v>
      </x:c>
      <x:c r="C214" s="7" t="s">
        <x:v>200</x:v>
      </x:c>
      <x:c r="D214" s="7" t="s">
        <x:v>201</x:v>
      </x:c>
      <x:c r="E214" s="7" t="s">
        <x:v>279</x:v>
      </x:c>
      <x:c r="F214" s="7" t="s">
        <x:v>99</x:v>
      </x:c>
      <x:c r="G214" s="7" t="n">
        <x:v>56</x:v>
      </x:c>
      <x:c r="I214" s="7" t="n">
        <x:v>2</x:v>
      </x:c>
      <x:c r="J214" s="7" t="s">
        <x:v>103</x:v>
      </x:c>
      <x:c r="K214" s="7" t="s">
        <x:v>102</x:v>
      </x:c>
    </x:row>
    <x:row r="215" ht="15" hidden="0">
      <x:c r="B215" s="8" t="n">
        <x:v>45667</x:v>
      </x:c>
      <x:c r="C215" s="7" t="s">
        <x:v>144</x:v>
      </x:c>
      <x:c r="D215" s="7" t="s">
        <x:v>145</x:v>
      </x:c>
      <x:c r="E215" s="7" t="s">
        <x:v>280</x:v>
      </x:c>
      <x:c r="F215" s="7" t="s">
        <x:v>99</x:v>
      </x:c>
      <x:c r="G215" s="7" t="n">
        <x:v>242</x:v>
      </x:c>
      <x:c r="I215" s="7" t="n">
        <x:v>5</x:v>
      </x:c>
      <x:c r="J215" s="7" t="s">
        <x:v>100</x:v>
      </x:c>
      <x:c r="K215" s="7" t="s">
        <x:v>102</x:v>
      </x:c>
    </x:row>
    <x:row r="216" ht="15" hidden="0">
      <x:c r="B216" s="8" t="n">
        <x:v>45667</x:v>
      </x:c>
      <x:c r="C216" s="7" t="s">
        <x:v>144</x:v>
      </x:c>
      <x:c r="D216" s="7" t="s">
        <x:v>145</x:v>
      </x:c>
      <x:c r="E216" s="7" t="s">
        <x:v>280</x:v>
      </x:c>
      <x:c r="F216" s="7" t="s">
        <x:v>99</x:v>
      </x:c>
      <x:c r="G216" s="7" t="n">
        <x:v>14</x:v>
      </x:c>
      <x:c r="I216" s="7" t="n">
        <x:v>1</x:v>
      </x:c>
      <x:c r="J216" s="7" t="s">
        <x:v>104</x:v>
      </x:c>
      <x:c r="K216" s="7" t="s">
        <x:v>102</x:v>
      </x:c>
    </x:row>
    <x:row r="217" ht="15" hidden="0">
      <x:c r="B217" s="8" t="n">
        <x:v>45667</x:v>
      </x:c>
      <x:c r="C217" s="7" t="s">
        <x:v>215</x:v>
      </x:c>
      <x:c r="D217" s="7" t="s">
        <x:v>204</x:v>
      </x:c>
      <x:c r="E217" s="7" t="s">
        <x:v>281</x:v>
      </x:c>
      <x:c r="F217" s="7" t="s">
        <x:v>99</x:v>
      </x:c>
      <x:c r="G217" s="7" t="n">
        <x:v>36</x:v>
      </x:c>
      <x:c r="I217" s="7" t="n">
        <x:v>1</x:v>
      </x:c>
      <x:c r="J217" s="7" t="s">
        <x:v>100</x:v>
      </x:c>
      <x:c r="K217" s="7" t="s">
        <x:v>101</x:v>
      </x:c>
    </x:row>
    <x:row r="218" ht="15" hidden="0">
      <x:c r="B218" s="8" t="n">
        <x:v>45667</x:v>
      </x:c>
      <x:c r="C218" s="7" t="s">
        <x:v>215</x:v>
      </x:c>
      <x:c r="D218" s="7" t="s">
        <x:v>204</x:v>
      </x:c>
      <x:c r="E218" s="7" t="s">
        <x:v>281</x:v>
      </x:c>
      <x:c r="F218" s="7" t="s">
        <x:v>99</x:v>
      </x:c>
      <x:c r="G218" s="7" t="n">
        <x:v>444</x:v>
      </x:c>
      <x:c r="I218" s="7" t="n">
        <x:v>11</x:v>
      </x:c>
      <x:c r="J218" s="7" t="s">
        <x:v>100</x:v>
      </x:c>
      <x:c r="K218" s="7" t="s">
        <x:v>102</x:v>
      </x:c>
    </x:row>
    <x:row r="219" ht="15" hidden="0">
      <x:c r="B219" s="8" t="n">
        <x:v>45667</x:v>
      </x:c>
      <x:c r="C219" s="7" t="s">
        <x:v>215</x:v>
      </x:c>
      <x:c r="D219" s="7" t="s">
        <x:v>204</x:v>
      </x:c>
      <x:c r="E219" s="7" t="s">
        <x:v>281</x:v>
      </x:c>
      <x:c r="F219" s="7" t="s">
        <x:v>99</x:v>
      </x:c>
      <x:c r="G219" s="7" t="n">
        <x:v>131</x:v>
      </x:c>
      <x:c r="I219" s="7" t="n">
        <x:v>5</x:v>
      </x:c>
      <x:c r="J219" s="7" t="s">
        <x:v>103</x:v>
      </x:c>
      <x:c r="K219" s="7" t="s">
        <x:v>102</x:v>
      </x:c>
    </x:row>
    <x:row r="220" ht="15" hidden="0">
      <x:c r="B220" s="8" t="n">
        <x:v>45667</x:v>
      </x:c>
      <x:c r="C220" s="7" t="s">
        <x:v>215</x:v>
      </x:c>
      <x:c r="D220" s="7" t="s">
        <x:v>204</x:v>
      </x:c>
      <x:c r="E220" s="7" t="s">
        <x:v>281</x:v>
      </x:c>
      <x:c r="F220" s="7" t="s">
        <x:v>99</x:v>
      </x:c>
      <x:c r="G220" s="7" t="n">
        <x:v>19</x:v>
      </x:c>
      <x:c r="I220" s="7" t="n">
        <x:v>1</x:v>
      </x:c>
      <x:c r="J220" s="7" t="s">
        <x:v>104</x:v>
      </x:c>
      <x:c r="K220" s="7" t="s">
        <x:v>102</x:v>
      </x:c>
    </x:row>
    <x:row r="221" ht="15" hidden="0">
      <x:c r="B221" s="8" t="n">
        <x:v>45668</x:v>
      </x:c>
      <x:c r="C221" s="7" t="s">
        <x:v>110</x:v>
      </x:c>
      <x:c r="D221" s="7" t="s">
        <x:v>111</x:v>
      </x:c>
      <x:c r="E221" s="7" t="s">
        <x:v>282</x:v>
      </x:c>
      <x:c r="F221" s="7" t="s">
        <x:v>99</x:v>
      </x:c>
      <x:c r="G221" s="7" t="n">
        <x:v>159</x:v>
      </x:c>
      <x:c r="I221" s="7" t="n">
        <x:v>3</x:v>
      </x:c>
      <x:c r="J221" s="7" t="s">
        <x:v>100</x:v>
      </x:c>
      <x:c r="K221" s="7" t="s">
        <x:v>101</x:v>
      </x:c>
    </x:row>
    <x:row r="222" ht="15" hidden="0">
      <x:c r="B222" s="8" t="n">
        <x:v>45668</x:v>
      </x:c>
      <x:c r="C222" s="7" t="s">
        <x:v>110</x:v>
      </x:c>
      <x:c r="D222" s="7" t="s">
        <x:v>111</x:v>
      </x:c>
      <x:c r="E222" s="7" t="s">
        <x:v>282</x:v>
      </x:c>
      <x:c r="F222" s="7" t="s">
        <x:v>99</x:v>
      </x:c>
      <x:c r="G222" s="7" t="n">
        <x:v>532</x:v>
      </x:c>
      <x:c r="I222" s="7" t="n">
        <x:v>11</x:v>
      </x:c>
      <x:c r="J222" s="7" t="s">
        <x:v>100</x:v>
      </x:c>
      <x:c r="K222" s="7" t="s">
        <x:v>102</x:v>
      </x:c>
    </x:row>
    <x:row r="223" ht="15" hidden="0">
      <x:c r="B223" s="8" t="n">
        <x:v>45668</x:v>
      </x:c>
      <x:c r="C223" s="7" t="s">
        <x:v>110</x:v>
      </x:c>
      <x:c r="D223" s="7" t="s">
        <x:v>111</x:v>
      </x:c>
      <x:c r="E223" s="7" t="s">
        <x:v>282</x:v>
      </x:c>
      <x:c r="F223" s="7" t="s">
        <x:v>99</x:v>
      </x:c>
      <x:c r="G223" s="7" t="n">
        <x:v>53</x:v>
      </x:c>
      <x:c r="I223" s="7" t="n">
        <x:v>2</x:v>
      </x:c>
      <x:c r="J223" s="7" t="s">
        <x:v>103</x:v>
      </x:c>
      <x:c r="K223" s="7" t="s">
        <x:v>102</x:v>
      </x:c>
    </x:row>
    <x:row r="224" ht="15" hidden="0">
      <x:c r="B224" s="8" t="n">
        <x:v>45668</x:v>
      </x:c>
      <x:c r="C224" s="7" t="s">
        <x:v>110</x:v>
      </x:c>
      <x:c r="D224" s="7" t="s">
        <x:v>111</x:v>
      </x:c>
      <x:c r="E224" s="7" t="s">
        <x:v>282</x:v>
      </x:c>
      <x:c r="F224" s="7" t="s">
        <x:v>99</x:v>
      </x:c>
      <x:c r="G224" s="7" t="n">
        <x:v>18</x:v>
      </x:c>
      <x:c r="I224" s="7" t="n">
        <x:v>1</x:v>
      </x:c>
      <x:c r="J224" s="7" t="s">
        <x:v>104</x:v>
      </x:c>
      <x:c r="K224" s="7" t="s">
        <x:v>102</x:v>
      </x:c>
    </x:row>
    <x:row r="225" ht="15" hidden="0">
      <x:c r="B225" s="8" t="n">
        <x:v>45668</x:v>
      </x:c>
      <x:c r="C225" s="7" t="s">
        <x:v>126</x:v>
      </x:c>
      <x:c r="D225" s="7" t="s">
        <x:v>127</x:v>
      </x:c>
      <x:c r="E225" s="7" t="s">
        <x:v>283</x:v>
      </x:c>
      <x:c r="F225" s="7" t="s">
        <x:v>99</x:v>
      </x:c>
      <x:c r="G225" s="7" t="n">
        <x:v>254</x:v>
      </x:c>
      <x:c r="I225" s="7" t="n">
        <x:v>6</x:v>
      </x:c>
      <x:c r="J225" s="7" t="s">
        <x:v>100</x:v>
      </x:c>
      <x:c r="K225" s="7" t="s">
        <x:v>102</x:v>
      </x:c>
    </x:row>
    <x:row r="226" ht="15" hidden="0">
      <x:c r="B226" s="8" t="n">
        <x:v>45668</x:v>
      </x:c>
      <x:c r="C226" s="7" t="s">
        <x:v>126</x:v>
      </x:c>
      <x:c r="D226" s="7" t="s">
        <x:v>127</x:v>
      </x:c>
      <x:c r="E226" s="7" t="s">
        <x:v>283</x:v>
      </x:c>
      <x:c r="F226" s="7" t="s">
        <x:v>99</x:v>
      </x:c>
      <x:c r="G226" s="7" t="n">
        <x:v>17</x:v>
      </x:c>
      <x:c r="I226" s="7" t="n">
        <x:v>1</x:v>
      </x:c>
      <x:c r="J226" s="7" t="s">
        <x:v>104</x:v>
      </x:c>
      <x:c r="K226" s="7" t="s">
        <x:v>102</x:v>
      </x:c>
    </x:row>
    <x:row r="227" ht="15" hidden="0">
      <x:c r="B227" s="8" t="n">
        <x:v>45668</x:v>
      </x:c>
      <x:c r="C227" s="7" t="s">
        <x:v>147</x:v>
      </x:c>
      <x:c r="D227" s="7" t="s">
        <x:v>148</x:v>
      </x:c>
      <x:c r="E227" s="7" t="s">
        <x:v>284</x:v>
      </x:c>
      <x:c r="F227" s="7" t="s">
        <x:v>99</x:v>
      </x:c>
      <x:c r="G227" s="7" t="n">
        <x:v>128</x:v>
      </x:c>
      <x:c r="I227" s="7" t="n">
        <x:v>2</x:v>
      </x:c>
      <x:c r="J227" s="7" t="s">
        <x:v>100</x:v>
      </x:c>
      <x:c r="K227" s="7" t="s">
        <x:v>102</x:v>
      </x:c>
    </x:row>
    <x:row r="228" ht="15" hidden="0">
      <x:c r="B228" s="8" t="n">
        <x:v>45668</x:v>
      </x:c>
      <x:c r="C228" s="7" t="s">
        <x:v>147</x:v>
      </x:c>
      <x:c r="D228" s="7" t="s">
        <x:v>148</x:v>
      </x:c>
      <x:c r="E228" s="7" t="s">
        <x:v>284</x:v>
      </x:c>
      <x:c r="F228" s="7" t="s">
        <x:v>99</x:v>
      </x:c>
      <x:c r="G228" s="7" t="n">
        <x:v>28</x:v>
      </x:c>
      <x:c r="I228" s="7" t="n">
        <x:v>1</x:v>
      </x:c>
      <x:c r="J228" s="7" t="s">
        <x:v>103</x:v>
      </x:c>
      <x:c r="K228" s="7" t="s">
        <x:v>102</x:v>
      </x:c>
    </x:row>
    <x:row r="229" ht="15" hidden="0">
      <x:c r="B229" s="8" t="n">
        <x:v>45668</x:v>
      </x:c>
      <x:c r="C229" s="7" t="s">
        <x:v>147</x:v>
      </x:c>
      <x:c r="D229" s="7" t="s">
        <x:v>148</x:v>
      </x:c>
      <x:c r="E229" s="7" t="s">
        <x:v>284</x:v>
      </x:c>
      <x:c r="F229" s="7" t="s">
        <x:v>99</x:v>
      </x:c>
      <x:c r="G229" s="7" t="n">
        <x:v>15</x:v>
      </x:c>
      <x:c r="I229" s="7" t="n">
        <x:v>1</x:v>
      </x:c>
      <x:c r="J229" s="7" t="s">
        <x:v>104</x:v>
      </x:c>
      <x:c r="K229" s="7" t="s">
        <x:v>102</x:v>
      </x:c>
    </x:row>
    <x:row r="230" ht="15" hidden="0">
      <x:c r="B230" s="8" t="n">
        <x:v>45669</x:v>
      </x:c>
      <x:c r="C230" s="7" t="s">
        <x:v>191</x:v>
      </x:c>
      <x:c r="D230" s="7" t="s">
        <x:v>192</x:v>
      </x:c>
      <x:c r="E230" s="7" t="s">
        <x:v>285</x:v>
      </x:c>
      <x:c r="F230" s="7" t="s">
        <x:v>99</x:v>
      </x:c>
      <x:c r="G230" s="7" t="n">
        <x:v>160</x:v>
      </x:c>
      <x:c r="I230" s="7" t="n">
        <x:v>3</x:v>
      </x:c>
      <x:c r="J230" s="7" t="s">
        <x:v>100</x:v>
      </x:c>
      <x:c r="K230" s="7" t="s">
        <x:v>102</x:v>
      </x:c>
    </x:row>
    <x:row r="231" ht="15" hidden="0">
      <x:c r="B231" s="8" t="n">
        <x:v>45669</x:v>
      </x:c>
      <x:c r="C231" s="7" t="s">
        <x:v>191</x:v>
      </x:c>
      <x:c r="D231" s="7" t="s">
        <x:v>192</x:v>
      </x:c>
      <x:c r="E231" s="7" t="s">
        <x:v>285</x:v>
      </x:c>
      <x:c r="F231" s="7" t="s">
        <x:v>99</x:v>
      </x:c>
      <x:c r="G231" s="7" t="n">
        <x:v>80</x:v>
      </x:c>
      <x:c r="I231" s="7" t="n">
        <x:v>3</x:v>
      </x:c>
      <x:c r="J231" s="7" t="s">
        <x:v>103</x:v>
      </x:c>
      <x:c r="K231" s="7" t="s">
        <x:v>102</x:v>
      </x:c>
    </x:row>
    <x:row r="232" ht="15" hidden="0">
      <x:c r="B232" s="8" t="n">
        <x:v>45669</x:v>
      </x:c>
      <x:c r="C232" s="7" t="s">
        <x:v>191</x:v>
      </x:c>
      <x:c r="D232" s="7" t="s">
        <x:v>192</x:v>
      </x:c>
      <x:c r="E232" s="7" t="s">
        <x:v>285</x:v>
      </x:c>
      <x:c r="F232" s="7" t="s">
        <x:v>99</x:v>
      </x:c>
      <x:c r="G232" s="7" t="n">
        <x:v>17</x:v>
      </x:c>
      <x:c r="I232" s="7" t="n">
        <x:v>1</x:v>
      </x:c>
      <x:c r="J232" s="7" t="s">
        <x:v>104</x:v>
      </x:c>
      <x:c r="K232" s="7" t="s">
        <x:v>102</x:v>
      </x:c>
    </x:row>
    <x:row r="233" ht="15" hidden="0">
      <x:c r="B233" s="8" t="n">
        <x:v>45669</x:v>
      </x:c>
      <x:c r="C233" s="7" t="s">
        <x:v>171</x:v>
      </x:c>
      <x:c r="D233" s="7" t="s">
        <x:v>172</x:v>
      </x:c>
      <x:c r="E233" s="7" t="s">
        <x:v>286</x:v>
      </x:c>
      <x:c r="F233" s="7" t="s">
        <x:v>99</x:v>
      </x:c>
      <x:c r="G233" s="7" t="n">
        <x:v>99</x:v>
      </x:c>
      <x:c r="I233" s="7" t="n">
        <x:v>2</x:v>
      </x:c>
      <x:c r="J233" s="7" t="s">
        <x:v>100</x:v>
      </x:c>
      <x:c r="K233" s="7" t="s">
        <x:v>101</x:v>
      </x:c>
    </x:row>
    <x:row r="234" ht="15" hidden="0">
      <x:c r="B234" s="8" t="n">
        <x:v>45669</x:v>
      </x:c>
      <x:c r="C234" s="7" t="s">
        <x:v>171</x:v>
      </x:c>
      <x:c r="D234" s="7" t="s">
        <x:v>172</x:v>
      </x:c>
      <x:c r="E234" s="7" t="s">
        <x:v>286</x:v>
      </x:c>
      <x:c r="F234" s="7" t="s">
        <x:v>99</x:v>
      </x:c>
      <x:c r="G234" s="7" t="n">
        <x:v>456</x:v>
      </x:c>
      <x:c r="I234" s="7" t="n">
        <x:v>9</x:v>
      </x:c>
      <x:c r="J234" s="7" t="s">
        <x:v>100</x:v>
      </x:c>
      <x:c r="K234" s="7" t="s">
        <x:v>102</x:v>
      </x:c>
    </x:row>
    <x:row r="235" ht="15" hidden="0">
      <x:c r="B235" s="8" t="n">
        <x:v>45669</x:v>
      </x:c>
      <x:c r="C235" s="7" t="s">
        <x:v>171</x:v>
      </x:c>
      <x:c r="D235" s="7" t="s">
        <x:v>172</x:v>
      </x:c>
      <x:c r="E235" s="7" t="s">
        <x:v>286</x:v>
      </x:c>
      <x:c r="F235" s="7" t="s">
        <x:v>99</x:v>
      </x:c>
      <x:c r="G235" s="7" t="n">
        <x:v>50</x:v>
      </x:c>
      <x:c r="I235" s="7" t="n">
        <x:v>2</x:v>
      </x:c>
      <x:c r="J235" s="7" t="s">
        <x:v>103</x:v>
      </x:c>
      <x:c r="K235" s="7" t="s">
        <x:v>102</x:v>
      </x:c>
    </x:row>
    <x:row r="236" ht="15" hidden="0">
      <x:c r="B236" s="8" t="n">
        <x:v>45669</x:v>
      </x:c>
      <x:c r="C236" s="7" t="s">
        <x:v>171</x:v>
      </x:c>
      <x:c r="D236" s="7" t="s">
        <x:v>172</x:v>
      </x:c>
      <x:c r="E236" s="7" t="s">
        <x:v>286</x:v>
      </x:c>
      <x:c r="F236" s="7" t="s">
        <x:v>99</x:v>
      </x:c>
      <x:c r="G236" s="7" t="n">
        <x:v>18</x:v>
      </x:c>
      <x:c r="I236" s="7" t="n">
        <x:v>1</x:v>
      </x:c>
      <x:c r="J236" s="7" t="s">
        <x:v>103</x:v>
      </x:c>
      <x:c r="K236" s="7" t="s">
        <x:v>102</x:v>
      </x:c>
    </x:row>
    <x:row r="237" ht="15" hidden="0">
      <x:c r="B237" s="8" t="n">
        <x:v>45670</x:v>
      </x:c>
      <x:c r="C237" s="7" t="s">
        <x:v>185</x:v>
      </x:c>
      <x:c r="D237" s="7" t="s">
        <x:v>186</x:v>
      </x:c>
      <x:c r="E237" s="7" t="s">
        <x:v>287</x:v>
      </x:c>
      <x:c r="F237" s="7" t="s">
        <x:v>99</x:v>
      </x:c>
      <x:c r="G237" s="7" t="n">
        <x:v>212</x:v>
      </x:c>
      <x:c r="I237" s="7" t="n">
        <x:v>4</x:v>
      </x:c>
      <x:c r="J237" s="7" t="s">
        <x:v>100</x:v>
      </x:c>
      <x:c r="K237" s="7" t="s">
        <x:v>102</x:v>
      </x:c>
    </x:row>
    <x:row r="238" ht="15" hidden="0">
      <x:c r="B238" s="8" t="n">
        <x:v>45670</x:v>
      </x:c>
      <x:c r="C238" s="7" t="s">
        <x:v>185</x:v>
      </x:c>
      <x:c r="D238" s="7" t="s">
        <x:v>186</x:v>
      </x:c>
      <x:c r="E238" s="7" t="s">
        <x:v>287</x:v>
      </x:c>
      <x:c r="F238" s="7" t="s">
        <x:v>99</x:v>
      </x:c>
      <x:c r="G238" s="7" t="n">
        <x:v>75</x:v>
      </x:c>
      <x:c r="I238" s="7" t="n">
        <x:v>3</x:v>
      </x:c>
      <x:c r="J238" s="7" t="s">
        <x:v>103</x:v>
      </x:c>
      <x:c r="K238" s="7" t="s">
        <x:v>102</x:v>
      </x:c>
    </x:row>
    <x:row r="239" ht="15" hidden="0">
      <x:c r="B239" s="8" t="n">
        <x:v>45672</x:v>
      </x:c>
      <x:c r="C239" s="7" t="s">
        <x:v>138</x:v>
      </x:c>
      <x:c r="D239" s="7" t="s">
        <x:v>139</x:v>
      </x:c>
      <x:c r="E239" s="7" t="s">
        <x:v>288</x:v>
      </x:c>
      <x:c r="F239" s="7" t="s">
        <x:v>99</x:v>
      </x:c>
      <x:c r="G239" s="7" t="n">
        <x:v>48</x:v>
      </x:c>
      <x:c r="I239" s="7" t="n">
        <x:v>1</x:v>
      </x:c>
      <x:c r="J239" s="7" t="s">
        <x:v>100</x:v>
      </x:c>
      <x:c r="K239" s="7" t="s">
        <x:v>101</x:v>
      </x:c>
    </x:row>
    <x:row r="240" ht="15" hidden="0">
      <x:c r="B240" s="8" t="n">
        <x:v>45672</x:v>
      </x:c>
      <x:c r="C240" s="7" t="s">
        <x:v>138</x:v>
      </x:c>
      <x:c r="D240" s="7" t="s">
        <x:v>139</x:v>
      </x:c>
      <x:c r="E240" s="7" t="s">
        <x:v>288</x:v>
      </x:c>
      <x:c r="F240" s="7" t="s">
        <x:v>99</x:v>
      </x:c>
      <x:c r="G240" s="7" t="n">
        <x:v>256</x:v>
      </x:c>
      <x:c r="I240" s="7" t="n">
        <x:v>5</x:v>
      </x:c>
      <x:c r="J240" s="7" t="s">
        <x:v>100</x:v>
      </x:c>
      <x:c r="K240" s="7" t="s">
        <x:v>102</x:v>
      </x:c>
    </x:row>
    <x:row r="241" ht="15" hidden="0">
      <x:c r="B241" s="8" t="n">
        <x:v>45672</x:v>
      </x:c>
      <x:c r="C241" s="7" t="s">
        <x:v>138</x:v>
      </x:c>
      <x:c r="D241" s="7" t="s">
        <x:v>139</x:v>
      </x:c>
      <x:c r="E241" s="7" t="s">
        <x:v>288</x:v>
      </x:c>
      <x:c r="F241" s="7" t="s">
        <x:v>99</x:v>
      </x:c>
      <x:c r="G241" s="7" t="n">
        <x:v>73</x:v>
      </x:c>
      <x:c r="I241" s="7" t="n">
        <x:v>3</x:v>
      </x:c>
      <x:c r="J241" s="7" t="s">
        <x:v>103</x:v>
      </x:c>
      <x:c r="K241" s="7" t="s">
        <x:v>102</x:v>
      </x:c>
    </x:row>
    <x:row r="242" ht="15" hidden="0">
      <x:c r="B242" s="8" t="n">
        <x:v>45672</x:v>
      </x:c>
      <x:c r="C242" s="7" t="s">
        <x:v>138</x:v>
      </x:c>
      <x:c r="D242" s="7" t="s">
        <x:v>139</x:v>
      </x:c>
      <x:c r="E242" s="7" t="s">
        <x:v>288</x:v>
      </x:c>
      <x:c r="F242" s="7" t="s">
        <x:v>99</x:v>
      </x:c>
      <x:c r="G242" s="7" t="n">
        <x:v>34</x:v>
      </x:c>
      <x:c r="I242" s="7" t="n">
        <x:v>2</x:v>
      </x:c>
      <x:c r="J242" s="7" t="s">
        <x:v>104</x:v>
      </x:c>
      <x:c r="K242" s="7" t="s">
        <x:v>102</x:v>
      </x:c>
    </x:row>
    <x:row r="243" ht="15" hidden="0">
      <x:c r="B243" s="8" t="n">
        <x:v>45672</x:v>
      </x:c>
      <x:c r="C243" s="7" t="s">
        <x:v>245</x:v>
      </x:c>
      <x:c r="D243" s="7" t="s">
        <x:v>246</x:v>
      </x:c>
      <x:c r="E243" s="7" t="s">
        <x:v>289</x:v>
      </x:c>
      <x:c r="F243" s="7" t="s">
        <x:v>99</x:v>
      </x:c>
      <x:c r="G243" s="7" t="n">
        <x:v>202</x:v>
      </x:c>
      <x:c r="I243" s="7" t="n">
        <x:v>4</x:v>
      </x:c>
      <x:c r="J243" s="7" t="s">
        <x:v>100</x:v>
      </x:c>
      <x:c r="K243" s="7" t="s">
        <x:v>102</x:v>
      </x:c>
    </x:row>
    <x:row r="244" ht="15" hidden="0">
      <x:c r="B244" s="8" t="n">
        <x:v>45672</x:v>
      </x:c>
      <x:c r="C244" s="7" t="s">
        <x:v>245</x:v>
      </x:c>
      <x:c r="D244" s="7" t="s">
        <x:v>246</x:v>
      </x:c>
      <x:c r="E244" s="7" t="s">
        <x:v>289</x:v>
      </x:c>
      <x:c r="F244" s="7" t="s">
        <x:v>99</x:v>
      </x:c>
      <x:c r="G244" s="7" t="n">
        <x:v>27</x:v>
      </x:c>
      <x:c r="I244" s="7" t="n">
        <x:v>1</x:v>
      </x:c>
      <x:c r="J244" s="7" t="s">
        <x:v>103</x:v>
      </x:c>
      <x:c r="K244" s="7" t="s">
        <x:v>102</x:v>
      </x:c>
    </x:row>
    <x:row r="245" ht="15" hidden="0">
      <x:c r="B245" s="8" t="n">
        <x:v>45672</x:v>
      </x:c>
      <x:c r="C245" s="7" t="s">
        <x:v>221</x:v>
      </x:c>
      <x:c r="D245" s="7" t="s">
        <x:v>222</x:v>
      </x:c>
      <x:c r="E245" s="7" t="s">
        <x:v>290</x:v>
      </x:c>
      <x:c r="F245" s="7" t="s">
        <x:v>99</x:v>
      </x:c>
      <x:c r="G245" s="7" t="n">
        <x:v>38</x:v>
      </x:c>
      <x:c r="I245" s="7" t="n">
        <x:v>1</x:v>
      </x:c>
      <x:c r="J245" s="7" t="s">
        <x:v>100</x:v>
      </x:c>
      <x:c r="K245" s="7" t="s">
        <x:v>102</x:v>
      </x:c>
    </x:row>
    <x:row r="246" ht="15" hidden="0">
      <x:c r="B246" s="8" t="n">
        <x:v>45673</x:v>
      </x:c>
      <x:c r="C246" s="7" t="s">
        <x:v>237</x:v>
      </x:c>
      <x:c r="D246" s="7" t="s">
        <x:v>238</x:v>
      </x:c>
      <x:c r="E246" s="7" t="s">
        <x:v>291</x:v>
      </x:c>
      <x:c r="F246" s="7" t="s">
        <x:v>99</x:v>
      </x:c>
      <x:c r="G246" s="7" t="n">
        <x:v>758</x:v>
      </x:c>
      <x:c r="I246" s="7" t="n">
        <x:v>16</x:v>
      </x:c>
      <x:c r="J246" s="7" t="s">
        <x:v>100</x:v>
      </x:c>
      <x:c r="K246" s="7" t="s">
        <x:v>102</x:v>
      </x:c>
    </x:row>
    <x:row r="247" ht="15" hidden="0">
      <x:c r="B247" s="8" t="n">
        <x:v>45673</x:v>
      </x:c>
      <x:c r="C247" s="7" t="s">
        <x:v>237</x:v>
      </x:c>
      <x:c r="D247" s="7" t="s">
        <x:v>238</x:v>
      </x:c>
      <x:c r="E247" s="7" t="s">
        <x:v>291</x:v>
      </x:c>
      <x:c r="F247" s="7" t="s">
        <x:v>99</x:v>
      </x:c>
      <x:c r="G247" s="7" t="n">
        <x:v>128</x:v>
      </x:c>
      <x:c r="I247" s="7" t="n">
        <x:v>5</x:v>
      </x:c>
      <x:c r="J247" s="7" t="s">
        <x:v>103</x:v>
      </x:c>
      <x:c r="K247" s="7" t="s">
        <x:v>102</x:v>
      </x:c>
    </x:row>
    <x:row r="248" ht="15" hidden="0">
      <x:c r="B248" s="8" t="n">
        <x:v>45673</x:v>
      </x:c>
      <x:c r="C248" s="7" t="s">
        <x:v>197</x:v>
      </x:c>
      <x:c r="D248" s="7" t="s">
        <x:v>198</x:v>
      </x:c>
      <x:c r="E248" s="7" t="s">
        <x:v>292</x:v>
      </x:c>
      <x:c r="F248" s="7" t="s">
        <x:v>99</x:v>
      </x:c>
      <x:c r="G248" s="7" t="n">
        <x:v>288</x:v>
      </x:c>
      <x:c r="I248" s="7" t="n">
        <x:v>6</x:v>
      </x:c>
      <x:c r="J248" s="7" t="s">
        <x:v>100</x:v>
      </x:c>
      <x:c r="K248" s="7" t="s">
        <x:v>102</x:v>
      </x:c>
    </x:row>
    <x:row r="249" ht="15" hidden="0">
      <x:c r="B249" s="8" t="n">
        <x:v>45673</x:v>
      </x:c>
      <x:c r="C249" s="7" t="s">
        <x:v>197</x:v>
      </x:c>
      <x:c r="D249" s="7" t="s">
        <x:v>198</x:v>
      </x:c>
      <x:c r="E249" s="7" t="s">
        <x:v>292</x:v>
      </x:c>
      <x:c r="F249" s="7" t="s">
        <x:v>99</x:v>
      </x:c>
      <x:c r="G249" s="7" t="n">
        <x:v>21</x:v>
      </x:c>
      <x:c r="I249" s="7" t="n">
        <x:v>1</x:v>
      </x:c>
      <x:c r="J249" s="7" t="s">
        <x:v>103</x:v>
      </x:c>
      <x:c r="K249" s="7" t="s">
        <x:v>102</x:v>
      </x:c>
    </x:row>
    <x:row r="250" ht="15" hidden="0">
      <x:c r="B250" s="8" t="n">
        <x:v>45673</x:v>
      </x:c>
      <x:c r="C250" s="7" t="s">
        <x:v>293</x:v>
      </x:c>
      <x:c r="D250" s="7" t="s">
        <x:v>179</x:v>
      </x:c>
      <x:c r="E250" s="7" t="s">
        <x:v>294</x:v>
      </x:c>
      <x:c r="F250" s="7" t="s">
        <x:v>99</x:v>
      </x:c>
      <x:c r="G250" s="7" t="n">
        <x:v>228</x:v>
      </x:c>
      <x:c r="I250" s="7" t="n">
        <x:v>5</x:v>
      </x:c>
      <x:c r="J250" s="7" t="s">
        <x:v>100</x:v>
      </x:c>
      <x:c r="K250" s="7" t="s">
        <x:v>102</x:v>
      </x:c>
    </x:row>
    <x:row r="251" ht="15" hidden="0">
      <x:c r="B251" s="8" t="n">
        <x:v>45674</x:v>
      </x:c>
      <x:c r="C251" s="7" t="s">
        <x:v>206</x:v>
      </x:c>
      <x:c r="D251" s="7" t="s">
        <x:v>207</x:v>
      </x:c>
      <x:c r="E251" s="7" t="s">
        <x:v>295</x:v>
      </x:c>
      <x:c r="F251" s="7" t="s">
        <x:v>99</x:v>
      </x:c>
      <x:c r="G251" s="7" t="n">
        <x:v>108</x:v>
      </x:c>
      <x:c r="I251" s="7" t="n">
        <x:v>2</x:v>
      </x:c>
      <x:c r="J251" s="7" t="s">
        <x:v>100</x:v>
      </x:c>
      <x:c r="K251" s="7" t="s">
        <x:v>102</x:v>
      </x:c>
    </x:row>
    <x:row r="252" ht="15" hidden="0">
      <x:c r="B252" s="8" t="n">
        <x:v>45674</x:v>
      </x:c>
      <x:c r="C252" s="7" t="s">
        <x:v>206</x:v>
      </x:c>
      <x:c r="D252" s="7" t="s">
        <x:v>207</x:v>
      </x:c>
      <x:c r="E252" s="7" t="s">
        <x:v>295</x:v>
      </x:c>
      <x:c r="F252" s="7" t="s">
        <x:v>99</x:v>
      </x:c>
      <x:c r="G252" s="7" t="n">
        <x:v>18</x:v>
      </x:c>
      <x:c r="I252" s="7" t="n">
        <x:v>1</x:v>
      </x:c>
      <x:c r="J252" s="7" t="s">
        <x:v>104</x:v>
      </x:c>
      <x:c r="K252" s="7" t="s">
        <x:v>102</x:v>
      </x:c>
    </x:row>
    <x:row r="253" ht="15" hidden="0">
      <x:c r="B253" s="8" t="n">
        <x:v>45674</x:v>
      </x:c>
      <x:c r="C253" s="7" t="s">
        <x:v>157</x:v>
      </x:c>
      <x:c r="D253" s="7" t="s">
        <x:v>158</x:v>
      </x:c>
      <x:c r="E253" s="7" t="s">
        <x:v>296</x:v>
      </x:c>
      <x:c r="F253" s="7" t="s">
        <x:v>99</x:v>
      </x:c>
      <x:c r="G253" s="7" t="n">
        <x:v>313</x:v>
      </x:c>
      <x:c r="I253" s="7" t="n">
        <x:v>6</x:v>
      </x:c>
      <x:c r="J253" s="7" t="s">
        <x:v>100</x:v>
      </x:c>
      <x:c r="K253" s="7" t="s">
        <x:v>102</x:v>
      </x:c>
    </x:row>
    <x:row r="254" ht="15" hidden="0">
      <x:c r="B254" s="8" t="n">
        <x:v>45676</x:v>
      </x:c>
      <x:c r="C254" s="7" t="s">
        <x:v>194</x:v>
      </x:c>
      <x:c r="D254" s="7" t="s">
        <x:v>195</x:v>
      </x:c>
      <x:c r="E254" s="7" t="s">
        <x:v>297</x:v>
      </x:c>
      <x:c r="F254" s="7" t="s">
        <x:v>99</x:v>
      </x:c>
      <x:c r="G254" s="7" t="n">
        <x:v>589</x:v>
      </x:c>
      <x:c r="I254" s="7" t="n">
        <x:v>12</x:v>
      </x:c>
      <x:c r="J254" s="7" t="s">
        <x:v>100</x:v>
      </x:c>
      <x:c r="K254" s="7" t="s">
        <x:v>102</x:v>
      </x:c>
    </x:row>
    <x:row r="255" ht="15" hidden="0">
      <x:c r="B255" s="8" t="n">
        <x:v>45676</x:v>
      </x:c>
      <x:c r="C255" s="7" t="s">
        <x:v>194</x:v>
      </x:c>
      <x:c r="D255" s="7" t="s">
        <x:v>195</x:v>
      </x:c>
      <x:c r="E255" s="7" t="s">
        <x:v>297</x:v>
      </x:c>
      <x:c r="F255" s="7" t="s">
        <x:v>99</x:v>
      </x:c>
      <x:c r="G255" s="7" t="n">
        <x:v>99</x:v>
      </x:c>
      <x:c r="I255" s="7" t="n">
        <x:v>4</x:v>
      </x:c>
      <x:c r="J255" s="7" t="s">
        <x:v>103</x:v>
      </x:c>
      <x:c r="K255" s="7" t="s">
        <x:v>102</x:v>
      </x:c>
    </x:row>
    <x:row r="256" ht="15" hidden="0">
      <x:c r="B256" s="8" t="n">
        <x:v>45677</x:v>
      </x:c>
      <x:c r="C256" s="7" t="s">
        <x:v>248</x:v>
      </x:c>
      <x:c r="D256" s="7" t="s">
        <x:v>249</x:v>
      </x:c>
      <x:c r="E256" s="7" t="s">
        <x:v>298</x:v>
      </x:c>
      <x:c r="F256" s="7" t="s">
        <x:v>99</x:v>
      </x:c>
      <x:c r="G256" s="7" t="n">
        <x:v>100</x:v>
      </x:c>
      <x:c r="I256" s="7" t="n">
        <x:v>2</x:v>
      </x:c>
      <x:c r="J256" s="7" t="s">
        <x:v>100</x:v>
      </x:c>
      <x:c r="K256" s="7" t="s">
        <x:v>101</x:v>
      </x:c>
    </x:row>
    <x:row r="257" ht="15" hidden="0">
      <x:c r="B257" s="8" t="n">
        <x:v>45677</x:v>
      </x:c>
      <x:c r="C257" s="7" t="s">
        <x:v>248</x:v>
      </x:c>
      <x:c r="D257" s="7" t="s">
        <x:v>249</x:v>
      </x:c>
      <x:c r="E257" s="7" t="s">
        <x:v>298</x:v>
      </x:c>
      <x:c r="F257" s="7" t="s">
        <x:v>99</x:v>
      </x:c>
      <x:c r="G257" s="7" t="n">
        <x:v>346</x:v>
      </x:c>
      <x:c r="I257" s="7" t="n">
        <x:v>7</x:v>
      </x:c>
      <x:c r="J257" s="7" t="s">
        <x:v>100</x:v>
      </x:c>
      <x:c r="K257" s="7" t="s">
        <x:v>102</x:v>
      </x:c>
    </x:row>
    <x:row r="258" ht="15" hidden="0">
      <x:c r="B258" s="8" t="n">
        <x:v>45679</x:v>
      </x:c>
      <x:c r="C258" s="7" t="s">
        <x:v>163</x:v>
      </x:c>
      <x:c r="D258" s="7" t="s">
        <x:v>164</x:v>
      </x:c>
      <x:c r="E258" s="7" t="s">
        <x:v>299</x:v>
      </x:c>
      <x:c r="F258" s="7" t="s">
        <x:v>99</x:v>
      </x:c>
      <x:c r="G258" s="7" t="n">
        <x:v>803</x:v>
      </x:c>
      <x:c r="I258" s="7" t="n">
        <x:v>16</x:v>
      </x:c>
      <x:c r="J258" s="7" t="s">
        <x:v>100</x:v>
      </x:c>
      <x:c r="K258" s="7" t="s">
        <x:v>102</x:v>
      </x:c>
    </x:row>
    <x:row r="259" ht="15" hidden="0">
      <x:c r="B259" s="8" t="n">
        <x:v>45679</x:v>
      </x:c>
      <x:c r="C259" s="7" t="s">
        <x:v>163</x:v>
      </x:c>
      <x:c r="D259" s="7" t="s">
        <x:v>164</x:v>
      </x:c>
      <x:c r="E259" s="7" t="s">
        <x:v>299</x:v>
      </x:c>
      <x:c r="F259" s="7" t="s">
        <x:v>99</x:v>
      </x:c>
      <x:c r="G259" s="7" t="n">
        <x:v>187</x:v>
      </x:c>
      <x:c r="I259" s="7" t="n">
        <x:v>8</x:v>
      </x:c>
      <x:c r="J259" s="7" t="s">
        <x:v>103</x:v>
      </x:c>
      <x:c r="K259" s="7" t="s">
        <x:v>102</x:v>
      </x:c>
    </x:row>
    <x:row r="260" ht="15" hidden="0">
      <x:c r="B260" s="8" t="n">
        <x:v>45679</x:v>
      </x:c>
      <x:c r="C260" s="7" t="s">
        <x:v>163</x:v>
      </x:c>
      <x:c r="D260" s="7" t="s">
        <x:v>164</x:v>
      </x:c>
      <x:c r="E260" s="7" t="s">
        <x:v>299</x:v>
      </x:c>
      <x:c r="F260" s="7" t="s">
        <x:v>99</x:v>
      </x:c>
      <x:c r="G260" s="7" t="n">
        <x:v>14</x:v>
      </x:c>
      <x:c r="I260" s="7" t="n">
        <x:v>1</x:v>
      </x:c>
      <x:c r="J260" s="7" t="s">
        <x:v>104</x:v>
      </x:c>
      <x:c r="K260" s="7" t="s">
        <x:v>102</x:v>
      </x:c>
    </x:row>
    <x:row r="261" ht="15" hidden="0">
      <x:c r="B261" s="8" t="n">
        <x:v>45679</x:v>
      </x:c>
      <x:c r="C261" s="7" t="s">
        <x:v>107</x:v>
      </x:c>
      <x:c r="D261" s="7" t="s">
        <x:v>108</x:v>
      </x:c>
      <x:c r="E261" s="7" t="s">
        <x:v>300</x:v>
      </x:c>
      <x:c r="F261" s="7" t="s">
        <x:v>99</x:v>
      </x:c>
      <x:c r="G261" s="7" t="n">
        <x:v>60</x:v>
      </x:c>
      <x:c r="I261" s="7" t="n">
        <x:v>1</x:v>
      </x:c>
      <x:c r="J261" s="7" t="s">
        <x:v>100</x:v>
      </x:c>
      <x:c r="K261" s="7" t="s">
        <x:v>101</x:v>
      </x:c>
    </x:row>
    <x:row r="262" ht="15" hidden="0">
      <x:c r="B262" s="8" t="n">
        <x:v>45679</x:v>
      </x:c>
      <x:c r="C262" s="7" t="s">
        <x:v>107</x:v>
      </x:c>
      <x:c r="D262" s="7" t="s">
        <x:v>108</x:v>
      </x:c>
      <x:c r="E262" s="7" t="s">
        <x:v>300</x:v>
      </x:c>
      <x:c r="F262" s="7" t="s">
        <x:v>99</x:v>
      </x:c>
      <x:c r="G262" s="7" t="n">
        <x:v>509</x:v>
      </x:c>
      <x:c r="H262" s="7" t="n">
        <x:v>124</x:v>
      </x:c>
      <x:c r="I262" s="7" t="n">
        <x:v>14</x:v>
      </x:c>
      <x:c r="J262" s="7" t="s">
        <x:v>100</x:v>
      </x:c>
      <x:c r="K262" s="7" t="s">
        <x:v>102</x:v>
      </x:c>
    </x:row>
    <x:row r="263" ht="15" hidden="0">
      <x:c r="B263" s="8" t="n">
        <x:v>45679</x:v>
      </x:c>
      <x:c r="C263" s="7" t="s">
        <x:v>107</x:v>
      </x:c>
      <x:c r="D263" s="7" t="s">
        <x:v>108</x:v>
      </x:c>
      <x:c r="E263" s="7" t="s">
        <x:v>300</x:v>
      </x:c>
      <x:c r="F263" s="7" t="s">
        <x:v>99</x:v>
      </x:c>
      <x:c r="G263" s="7" t="n">
        <x:v>72</x:v>
      </x:c>
      <x:c r="I263" s="7" t="n">
        <x:v>3</x:v>
      </x:c>
      <x:c r="J263" s="7" t="s">
        <x:v>103</x:v>
      </x:c>
      <x:c r="K263" s="7" t="s">
        <x:v>102</x:v>
      </x:c>
    </x:row>
    <x:row r="264" ht="15" hidden="0">
      <x:c r="B264" s="8" t="n">
        <x:v>45679</x:v>
      </x:c>
      <x:c r="C264" s="7" t="s">
        <x:v>251</x:v>
      </x:c>
      <x:c r="D264" s="7" t="s">
        <x:v>252</x:v>
      </x:c>
      <x:c r="E264" s="7" t="s">
        <x:v>301</x:v>
      </x:c>
      <x:c r="F264" s="7" t="s">
        <x:v>99</x:v>
      </x:c>
      <x:c r="G264" s="7" t="n">
        <x:v>405</x:v>
      </x:c>
      <x:c r="I264" s="7" t="n">
        <x:v>7</x:v>
      </x:c>
      <x:c r="J264" s="7" t="s">
        <x:v>100</x:v>
      </x:c>
      <x:c r="K264" s="7" t="s">
        <x:v>102</x:v>
      </x:c>
    </x:row>
    <x:row r="265" ht="15" hidden="0">
      <x:c r="B265" s="8" t="n">
        <x:v>45679</x:v>
      </x:c>
      <x:c r="C265" s="7" t="s">
        <x:v>251</x:v>
      </x:c>
      <x:c r="D265" s="7" t="s">
        <x:v>252</x:v>
      </x:c>
      <x:c r="E265" s="7" t="s">
        <x:v>301</x:v>
      </x:c>
      <x:c r="F265" s="7" t="s">
        <x:v>99</x:v>
      </x:c>
      <x:c r="G265" s="7" t="n">
        <x:v>22</x:v>
      </x:c>
      <x:c r="I265" s="7" t="n">
        <x:v>1</x:v>
      </x:c>
      <x:c r="J265" s="7" t="s">
        <x:v>103</x:v>
      </x:c>
      <x:c r="K265" s="7" t="s">
        <x:v>102</x:v>
      </x:c>
    </x:row>
    <x:row r="266" ht="15" hidden="0">
      <x:c r="B266" s="8" t="n">
        <x:v>45680</x:v>
      </x:c>
      <x:c r="C266" s="7" t="s">
        <x:v>302</x:v>
      </x:c>
      <x:c r="D266" s="7" t="s">
        <x:v>303</x:v>
      </x:c>
      <x:c r="E266" s="7" t="s">
        <x:v>304</x:v>
      </x:c>
      <x:c r="F266" s="7" t="s">
        <x:v>99</x:v>
      </x:c>
      <x:c r="G266" s="7" t="n">
        <x:v>74</x:v>
      </x:c>
      <x:c r="I266" s="7" t="n">
        <x:v>1</x:v>
      </x:c>
      <x:c r="J266" s="7" t="s">
        <x:v>100</x:v>
      </x:c>
      <x:c r="K266" s="7" t="s">
        <x:v>102</x:v>
      </x:c>
    </x:row>
    <x:row r="267" ht="15" hidden="0">
      <x:c r="B267" s="8" t="n">
        <x:v>45680</x:v>
      </x:c>
      <x:c r="C267" s="7" t="s">
        <x:v>302</x:v>
      </x:c>
      <x:c r="D267" s="7" t="s">
        <x:v>303</x:v>
      </x:c>
      <x:c r="E267" s="7" t="s">
        <x:v>304</x:v>
      </x:c>
      <x:c r="F267" s="7" t="s">
        <x:v>99</x:v>
      </x:c>
      <x:c r="G267" s="7" t="n">
        <x:v>24</x:v>
      </x:c>
      <x:c r="I267" s="7" t="n">
        <x:v>1</x:v>
      </x:c>
      <x:c r="J267" s="7" t="s">
        <x:v>103</x:v>
      </x:c>
      <x:c r="K267" s="7" t="s">
        <x:v>102</x:v>
      </x:c>
    </x:row>
    <x:row r="268" ht="15" hidden="0">
      <x:c r="B268" s="8" t="n">
        <x:v>45686</x:v>
      </x:c>
      <x:c r="C268" s="7" t="s">
        <x:v>217</x:v>
      </x:c>
      <x:c r="D268" s="7" t="s">
        <x:v>218</x:v>
      </x:c>
      <x:c r="E268" s="7" t="s">
        <x:v>305</x:v>
      </x:c>
      <x:c r="F268" s="7" t="s">
        <x:v>99</x:v>
      </x:c>
      <x:c r="G268" s="7" t="n">
        <x:v>625</x:v>
      </x:c>
      <x:c r="I268" s="7" t="n">
        <x:v>13</x:v>
      </x:c>
      <x:c r="J268" s="7" t="s">
        <x:v>100</x:v>
      </x:c>
      <x:c r="K268" s="7" t="s">
        <x:v>102</x:v>
      </x:c>
    </x:row>
    <x:row r="269" ht="15" hidden="0">
      <x:c r="B269" s="8" t="n">
        <x:v>45686</x:v>
      </x:c>
      <x:c r="C269" s="7" t="s">
        <x:v>217</x:v>
      </x:c>
      <x:c r="D269" s="7" t="s">
        <x:v>218</x:v>
      </x:c>
      <x:c r="E269" s="7" t="s">
        <x:v>305</x:v>
      </x:c>
      <x:c r="F269" s="7" t="s">
        <x:v>99</x:v>
      </x:c>
      <x:c r="G269" s="7" t="n">
        <x:v>133</x:v>
      </x:c>
      <x:c r="I269" s="7" t="n">
        <x:v>6</x:v>
      </x:c>
      <x:c r="J269" s="7" t="s">
        <x:v>103</x:v>
      </x:c>
      <x:c r="K269" s="7" t="s">
        <x:v>102</x:v>
      </x:c>
    </x:row>
    <x:row r="270" ht="15" hidden="0">
      <x:c r="B270" s="8" t="n">
        <x:v>45686</x:v>
      </x:c>
      <x:c r="C270" s="7" t="s">
        <x:v>217</x:v>
      </x:c>
      <x:c r="D270" s="7" t="s">
        <x:v>218</x:v>
      </x:c>
      <x:c r="E270" s="7" t="s">
        <x:v>305</x:v>
      </x:c>
      <x:c r="F270" s="7" t="s">
        <x:v>99</x:v>
      </x:c>
      <x:c r="G270" s="7" t="n">
        <x:v>18</x:v>
      </x:c>
      <x:c r="I270" s="7" t="n">
        <x:v>1</x:v>
      </x:c>
      <x:c r="J270" s="7" t="s">
        <x:v>104</x:v>
      </x:c>
      <x:c r="K270" s="7" t="s">
        <x:v>102</x:v>
      </x:c>
    </x:row>
    <x:row r="271" ht="15" hidden="0">
      <x:c r="B271" s="8" t="n">
        <x:v>45688</x:v>
      </x:c>
      <x:c r="C271" s="7" t="s">
        <x:v>126</x:v>
      </x:c>
      <x:c r="D271" s="7" t="s">
        <x:v>127</x:v>
      </x:c>
      <x:c r="E271" s="7" t="s">
        <x:v>306</x:v>
      </x:c>
      <x:c r="F271" s="7" t="s">
        <x:v>99</x:v>
      </x:c>
      <x:c r="G271" s="7" t="n">
        <x:v>783</x:v>
      </x:c>
      <x:c r="I271" s="7" t="n">
        <x:v>16</x:v>
      </x:c>
      <x:c r="J271" s="7" t="s">
        <x:v>100</x:v>
      </x:c>
      <x:c r="K271" s="7" t="s">
        <x:v>102</x:v>
      </x:c>
    </x:row>
    <x:row r="272" ht="15" hidden="0">
      <x:c r="B272" s="8" t="n">
        <x:v>45688</x:v>
      </x:c>
      <x:c r="C272" s="7" t="s">
        <x:v>126</x:v>
      </x:c>
      <x:c r="D272" s="7" t="s">
        <x:v>127</x:v>
      </x:c>
      <x:c r="E272" s="7" t="s">
        <x:v>306</x:v>
      </x:c>
      <x:c r="F272" s="7" t="s">
        <x:v>99</x:v>
      </x:c>
      <x:c r="G272" s="7" t="n">
        <x:v>20</x:v>
      </x:c>
      <x:c r="I272" s="7" t="n">
        <x:v>1</x:v>
      </x:c>
      <x:c r="J272" s="7" t="s">
        <x:v>103</x:v>
      </x:c>
      <x:c r="K272" s="7" t="s">
        <x:v>102</x:v>
      </x:c>
    </x:row>
    <x:row r="273" ht="15" hidden="0">
      <x:c r="B273" s="8" t="n">
        <x:v>45688</x:v>
      </x:c>
      <x:c r="C273" s="7" t="s">
        <x:v>110</x:v>
      </x:c>
      <x:c r="D273" s="7" t="s">
        <x:v>111</x:v>
      </x:c>
      <x:c r="E273" s="7" t="s">
        <x:v>307</x:v>
      </x:c>
      <x:c r="F273" s="7" t="s">
        <x:v>99</x:v>
      </x:c>
      <x:c r="G273" s="7" t="n">
        <x:v>469</x:v>
      </x:c>
      <x:c r="I273" s="7" t="n">
        <x:v>9</x:v>
      </x:c>
      <x:c r="J273" s="7" t="s">
        <x:v>100</x:v>
      </x:c>
      <x:c r="K273" s="7" t="s">
        <x:v>102</x:v>
      </x:c>
    </x:row>
    <x:row r="274" ht="15" hidden="0">
      <x:c r="B274" s="8" t="n">
        <x:v>45688</x:v>
      </x:c>
      <x:c r="C274" s="7" t="s">
        <x:v>110</x:v>
      </x:c>
      <x:c r="D274" s="7" t="s">
        <x:v>111</x:v>
      </x:c>
      <x:c r="E274" s="7" t="s">
        <x:v>307</x:v>
      </x:c>
      <x:c r="F274" s="7" t="s">
        <x:v>99</x:v>
      </x:c>
      <x:c r="G274" s="7" t="n">
        <x:v>47</x:v>
      </x:c>
      <x:c r="I274" s="7" t="n">
        <x:v>2</x:v>
      </x:c>
      <x:c r="J274" s="7" t="s">
        <x:v>103</x:v>
      </x:c>
      <x:c r="K274" s="7" t="s">
        <x:v>102</x:v>
      </x:c>
    </x:row>
    <x:row r="275" ht="15" hidden="0">
      <x:c r="B275" s="8" t="n">
        <x:v>45688</x:v>
      </x:c>
      <x:c r="C275" s="7" t="s">
        <x:v>110</x:v>
      </x:c>
      <x:c r="D275" s="7" t="s">
        <x:v>111</x:v>
      </x:c>
      <x:c r="E275" s="7" t="s">
        <x:v>307</x:v>
      </x:c>
      <x:c r="F275" s="7" t="s">
        <x:v>99</x:v>
      </x:c>
      <x:c r="G275" s="7" t="n">
        <x:v>17</x:v>
      </x:c>
      <x:c r="I275" s="7" t="n">
        <x:v>1</x:v>
      </x:c>
      <x:c r="J275" s="7" t="s">
        <x:v>104</x:v>
      </x:c>
      <x:c r="K275" s="7" t="s">
        <x:v>102</x:v>
      </x:c>
    </x:row>
    <x:row r="276" ht="15" hidden="0">
      <x:c r="B276" s="8" t="n">
        <x:v>45688</x:v>
      </x:c>
      <x:c r="C276" s="7" t="s">
        <x:v>129</x:v>
      </x:c>
      <x:c r="D276" s="7" t="s">
        <x:v>130</x:v>
      </x:c>
      <x:c r="E276" s="7" t="s">
        <x:v>308</x:v>
      </x:c>
      <x:c r="F276" s="7" t="s">
        <x:v>99</x:v>
      </x:c>
      <x:c r="G276" s="7" t="n">
        <x:v>60</x:v>
      </x:c>
      <x:c r="I276" s="7" t="n">
        <x:v>1</x:v>
      </x:c>
      <x:c r="J276" s="7" t="s">
        <x:v>100</x:v>
      </x:c>
      <x:c r="K276" s="7" t="s">
        <x:v>101</x:v>
      </x:c>
    </x:row>
    <x:row r="277" ht="15" hidden="0">
      <x:c r="B277" s="8" t="n">
        <x:v>45688</x:v>
      </x:c>
      <x:c r="C277" s="7" t="s">
        <x:v>129</x:v>
      </x:c>
      <x:c r="D277" s="7" t="s">
        <x:v>130</x:v>
      </x:c>
      <x:c r="E277" s="7" t="s">
        <x:v>308</x:v>
      </x:c>
      <x:c r="F277" s="7" t="s">
        <x:v>99</x:v>
      </x:c>
      <x:c r="G277" s="7" t="n">
        <x:v>718</x:v>
      </x:c>
      <x:c r="I277" s="7" t="n">
        <x:v>14</x:v>
      </x:c>
      <x:c r="J277" s="7" t="s">
        <x:v>100</x:v>
      </x:c>
      <x:c r="K277" s="7" t="s">
        <x:v>102</x:v>
      </x:c>
    </x:row>
    <x:row r="278" ht="15" hidden="0">
      <x:c r="B278" s="8" t="n">
        <x:v>45688</x:v>
      </x:c>
      <x:c r="C278" s="7" t="s">
        <x:v>129</x:v>
      </x:c>
      <x:c r="D278" s="7" t="s">
        <x:v>130</x:v>
      </x:c>
      <x:c r="E278" s="7" t="s">
        <x:v>308</x:v>
      </x:c>
      <x:c r="F278" s="7" t="s">
        <x:v>99</x:v>
      </x:c>
      <x:c r="G278" s="7" t="n">
        <x:v>24</x:v>
      </x:c>
      <x:c r="I278" s="7" t="n">
        <x:v>1</x:v>
      </x:c>
      <x:c r="J278" s="7" t="s">
        <x:v>103</x:v>
      </x:c>
      <x:c r="K278" s="7" t="s">
        <x:v>102</x:v>
      </x:c>
    </x:row>
    <x:row r="279" ht="15" hidden="0">
      <x:c r="B279" s="8" t="n">
        <x:v>45688</x:v>
      </x:c>
      <x:c r="C279" s="7" t="s">
        <x:v>150</x:v>
      </x:c>
      <x:c r="D279" s="7" t="s">
        <x:v>151</x:v>
      </x:c>
      <x:c r="E279" s="7" t="s">
        <x:v>309</x:v>
      </x:c>
      <x:c r="F279" s="7" t="s">
        <x:v>99</x:v>
      </x:c>
      <x:c r="G279" s="7" t="n">
        <x:v>94</x:v>
      </x:c>
      <x:c r="I279" s="7" t="n">
        <x:v>2</x:v>
      </x:c>
      <x:c r="J279" s="7" t="s">
        <x:v>100</x:v>
      </x:c>
      <x:c r="K279" s="7" t="s">
        <x:v>102</x:v>
      </x:c>
    </x:row>
    <x:row r="280" ht="15" hidden="0">
      <x:c r="B280" s="8" t="n">
        <x:v>45688</x:v>
      </x:c>
      <x:c r="C280" s="7" t="s">
        <x:v>150</x:v>
      </x:c>
      <x:c r="D280" s="7" t="s">
        <x:v>151</x:v>
      </x:c>
      <x:c r="E280" s="7" t="s">
        <x:v>309</x:v>
      </x:c>
      <x:c r="F280" s="7" t="s">
        <x:v>99</x:v>
      </x:c>
      <x:c r="G280" s="7" t="n">
        <x:v>19</x:v>
      </x:c>
      <x:c r="I280" s="7" t="n">
        <x:v>1</x:v>
      </x:c>
      <x:c r="J280" s="7" t="s">
        <x:v>104</x:v>
      </x:c>
      <x:c r="K280" s="7" t="s">
        <x:v>102</x:v>
      </x:c>
    </x:row>
    <x:row r="281" ht="15" hidden="0">
      <x:c r="B281" s="8" t="n">
        <x:v>45688</x:v>
      </x:c>
      <x:c r="C281" s="7" t="s">
        <x:v>171</x:v>
      </x:c>
      <x:c r="D281" s="7" t="s">
        <x:v>172</x:v>
      </x:c>
      <x:c r="E281" s="7" t="s">
        <x:v>310</x:v>
      </x:c>
      <x:c r="F281" s="7" t="s">
        <x:v>99</x:v>
      </x:c>
      <x:c r="G281" s="7" t="n">
        <x:v>335</x:v>
      </x:c>
      <x:c r="I281" s="7" t="n">
        <x:v>6</x:v>
      </x:c>
      <x:c r="J281" s="7" t="s">
        <x:v>100</x:v>
      </x:c>
      <x:c r="K281" s="7" t="s">
        <x:v>102</x:v>
      </x:c>
    </x:row>
    <x:row r="282" ht="15" hidden="0">
      <x:c r="B282" s="8" t="n">
        <x:v>45688</x:v>
      </x:c>
      <x:c r="C282" s="7" t="s">
        <x:v>171</x:v>
      </x:c>
      <x:c r="D282" s="7" t="s">
        <x:v>172</x:v>
      </x:c>
      <x:c r="E282" s="7" t="s">
        <x:v>310</x:v>
      </x:c>
      <x:c r="F282" s="7" t="s">
        <x:v>99</x:v>
      </x:c>
      <x:c r="G282" s="7" t="n">
        <x:v>116</x:v>
      </x:c>
      <x:c r="I282" s="7" t="n">
        <x:v>5</x:v>
      </x:c>
      <x:c r="J282" s="7" t="s">
        <x:v>103</x:v>
      </x:c>
      <x:c r="K282" s="7" t="s">
        <x:v>102</x:v>
      </x:c>
    </x:row>
    <x:row r="283" ht="15" hidden="0">
      <x:c r="B283" s="8" t="n">
        <x:v>45688</x:v>
      </x:c>
      <x:c r="C283" s="7" t="s">
        <x:v>171</x:v>
      </x:c>
      <x:c r="D283" s="7" t="s">
        <x:v>172</x:v>
      </x:c>
      <x:c r="E283" s="7" t="s">
        <x:v>310</x:v>
      </x:c>
      <x:c r="F283" s="7" t="s">
        <x:v>99</x:v>
      </x:c>
      <x:c r="G283" s="7" t="n">
        <x:v>52</x:v>
      </x:c>
      <x:c r="I283" s="7" t="n">
        <x:v>3</x:v>
      </x:c>
      <x:c r="J283" s="7" t="s">
        <x:v>104</x:v>
      </x:c>
      <x:c r="K283" s="7" t="s">
        <x:v>102</x:v>
      </x:c>
    </x:row>
    <x:row r="284" ht="15" hidden="0">
      <x:c r="B284" s="8" t="n">
        <x:v>45713</x:v>
      </x:c>
      <x:c r="C284" s="7" t="s">
        <x:v>113</x:v>
      </x:c>
      <x:c r="D284" s="7" t="s">
        <x:v>114</x:v>
      </x:c>
      <x:c r="E284" s="7" t="s">
        <x:v>311</x:v>
      </x:c>
      <x:c r="F284" s="7" t="s">
        <x:v>312</x:v>
      </x:c>
      <x:c r="G284" s="7" t="n">
        <x:v>93</x:v>
      </x:c>
      <x:c r="I284" s="7" t="n">
        <x:v>2</x:v>
      </x:c>
      <x:c r="J284" s="7" t="s">
        <x:v>100</x:v>
      </x:c>
      <x:c r="K284" s="7" t="s">
        <x:v>101</x:v>
      </x:c>
    </x:row>
    <x:row r="285" ht="15" hidden="0">
      <x:c r="B285" s="8" t="n">
        <x:v>45713</x:v>
      </x:c>
      <x:c r="C285" s="7" t="s">
        <x:v>113</x:v>
      </x:c>
      <x:c r="D285" s="7" t="s">
        <x:v>114</x:v>
      </x:c>
      <x:c r="E285" s="7" t="s">
        <x:v>311</x:v>
      </x:c>
      <x:c r="F285" s="7" t="s">
        <x:v>312</x:v>
      </x:c>
      <x:c r="G285" s="7" t="n">
        <x:v>698</x:v>
      </x:c>
      <x:c r="H285" s="7" t="n">
        <x:v>55</x:v>
      </x:c>
      <x:c r="I285" s="7" t="n">
        <x:v>19</x:v>
      </x:c>
      <x:c r="J285" s="7" t="s">
        <x:v>100</x:v>
      </x:c>
      <x:c r="K285" s="7" t="s">
        <x:v>102</x:v>
      </x:c>
    </x:row>
    <x:row r="286" ht="15" hidden="0">
      <x:c r="B286" s="8" t="n">
        <x:v>45713</x:v>
      </x:c>
      <x:c r="C286" s="7" t="s">
        <x:v>113</x:v>
      </x:c>
      <x:c r="D286" s="7" t="s">
        <x:v>114</x:v>
      </x:c>
      <x:c r="E286" s="7" t="s">
        <x:v>311</x:v>
      </x:c>
      <x:c r="F286" s="7" t="s">
        <x:v>312</x:v>
      </x:c>
      <x:c r="G286" s="7" t="n">
        <x:v>126</x:v>
      </x:c>
      <x:c r="I286" s="7" t="n">
        <x:v>5</x:v>
      </x:c>
      <x:c r="J286" s="7" t="s">
        <x:v>103</x:v>
      </x:c>
      <x:c r="K286" s="7" t="s">
        <x:v>102</x:v>
      </x:c>
    </x:row>
    <x:row r="287" ht="15" hidden="0">
      <x:c r="B287" s="8" t="n">
        <x:v>45713</x:v>
      </x:c>
      <x:c r="C287" s="7" t="s">
        <x:v>113</x:v>
      </x:c>
      <x:c r="D287" s="7" t="s">
        <x:v>114</x:v>
      </x:c>
      <x:c r="E287" s="7" t="s">
        <x:v>311</x:v>
      </x:c>
      <x:c r="F287" s="7" t="s">
        <x:v>312</x:v>
      </x:c>
      <x:c r="G287" s="7" t="n">
        <x:v>78</x:v>
      </x:c>
      <x:c r="I287" s="7" t="n">
        <x:v>3</x:v>
      </x:c>
      <x:c r="J287" s="7" t="s">
        <x:v>103</x:v>
      </x:c>
      <x:c r="K287" s="7" t="s">
        <x:v>102</x:v>
      </x:c>
    </x:row>
    <x:row r="288" ht="15" hidden="0">
      <x:c r="B288" s="8" t="n">
        <x:v>45713</x:v>
      </x:c>
      <x:c r="C288" s="7" t="s">
        <x:v>113</x:v>
      </x:c>
      <x:c r="D288" s="7" t="s">
        <x:v>114</x:v>
      </x:c>
      <x:c r="E288" s="7" t="s">
        <x:v>311</x:v>
      </x:c>
      <x:c r="F288" s="7" t="s">
        <x:v>312</x:v>
      </x:c>
      <x:c r="G288" s="7" t="n">
        <x:v>73</x:v>
      </x:c>
      <x:c r="I288" s="7" t="n">
        <x:v>3</x:v>
      </x:c>
      <x:c r="J288" s="7" t="s">
        <x:v>103</x:v>
      </x:c>
      <x:c r="K288" s="7" t="s">
        <x:v>102</x:v>
      </x:c>
    </x:row>
    <x:row r="289" ht="15" hidden="0">
      <x:c r="B289" s="8" t="n">
        <x:v>45713</x:v>
      </x:c>
      <x:c r="C289" s="7" t="s">
        <x:v>113</x:v>
      </x:c>
      <x:c r="D289" s="7" t="s">
        <x:v>114</x:v>
      </x:c>
      <x:c r="E289" s="7" t="s">
        <x:v>311</x:v>
      </x:c>
      <x:c r="F289" s="7" t="s">
        <x:v>312</x:v>
      </x:c>
      <x:c r="G289" s="7" t="n">
        <x:v>19</x:v>
      </x:c>
      <x:c r="I289" s="7" t="n">
        <x:v>1</x:v>
      </x:c>
      <x:c r="J289" s="7" t="s">
        <x:v>104</x:v>
      </x:c>
      <x:c r="K289" s="7" t="s">
        <x:v>102</x:v>
      </x:c>
    </x:row>
    <x:row r="290" ht="15" hidden="0">
      <x:c r="B290" s="8" t="n">
        <x:v>45714</x:v>
      </x:c>
      <x:c r="C290" s="7" t="s">
        <x:v>141</x:v>
      </x:c>
      <x:c r="D290" s="7" t="s">
        <x:v>142</x:v>
      </x:c>
      <x:c r="E290" s="7" t="s">
        <x:v>313</x:v>
      </x:c>
      <x:c r="F290" s="7" t="s">
        <x:v>312</x:v>
      </x:c>
      <x:c r="G290" s="7" t="n">
        <x:v>166</x:v>
      </x:c>
      <x:c r="I290" s="7" t="n">
        <x:v>4</x:v>
      </x:c>
      <x:c r="J290" s="7" t="s">
        <x:v>100</x:v>
      </x:c>
      <x:c r="K290" s="7" t="s">
        <x:v>101</x:v>
      </x:c>
    </x:row>
    <x:row r="291" ht="15" hidden="0">
      <x:c r="B291" s="8" t="n">
        <x:v>45714</x:v>
      </x:c>
      <x:c r="C291" s="7" t="s">
        <x:v>141</x:v>
      </x:c>
      <x:c r="D291" s="7" t="s">
        <x:v>142</x:v>
      </x:c>
      <x:c r="E291" s="7" t="s">
        <x:v>313</x:v>
      </x:c>
      <x:c r="F291" s="7" t="s">
        <x:v>312</x:v>
      </x:c>
      <x:c r="G291" s="7" t="n">
        <x:v>632</x:v>
      </x:c>
      <x:c r="I291" s="7" t="n">
        <x:v>15</x:v>
      </x:c>
      <x:c r="J291" s="7" t="s">
        <x:v>100</x:v>
      </x:c>
      <x:c r="K291" s="7" t="s">
        <x:v>102</x:v>
      </x:c>
    </x:row>
    <x:row r="292" ht="15" hidden="0">
      <x:c r="B292" s="8" t="n">
        <x:v>45714</x:v>
      </x:c>
      <x:c r="C292" s="7" t="s">
        <x:v>141</x:v>
      </x:c>
      <x:c r="D292" s="7" t="s">
        <x:v>142</x:v>
      </x:c>
      <x:c r="E292" s="7" t="s">
        <x:v>313</x:v>
      </x:c>
      <x:c r="F292" s="7" t="s">
        <x:v>312</x:v>
      </x:c>
      <x:c r="G292" s="7" t="n">
        <x:v>198</x:v>
      </x:c>
      <x:c r="I292" s="7" t="n">
        <x:v>8</x:v>
      </x:c>
      <x:c r="J292" s="7" t="s">
        <x:v>103</x:v>
      </x:c>
      <x:c r="K292" s="7" t="s">
        <x:v>102</x:v>
      </x:c>
    </x:row>
    <x:row r="293" ht="15" hidden="0">
      <x:c r="B293" s="8" t="n">
        <x:v>45714</x:v>
      </x:c>
      <x:c r="C293" s="7" t="s">
        <x:v>141</x:v>
      </x:c>
      <x:c r="D293" s="7" t="s">
        <x:v>142</x:v>
      </x:c>
      <x:c r="E293" s="7" t="s">
        <x:v>313</x:v>
      </x:c>
      <x:c r="F293" s="7" t="s">
        <x:v>312</x:v>
      </x:c>
      <x:c r="G293" s="7" t="n">
        <x:v>19</x:v>
      </x:c>
      <x:c r="I293" s="7" t="n">
        <x:v>1</x:v>
      </x:c>
      <x:c r="J293" s="7" t="s">
        <x:v>104</x:v>
      </x:c>
      <x:c r="K293" s="7" t="s">
        <x:v>102</x:v>
      </x:c>
    </x:row>
    <x:row r="294" ht="15" hidden="0">
      <x:c r="B294" s="8" t="n">
        <x:v>45716</x:v>
      </x:c>
      <x:c r="C294" s="7" t="s">
        <x:v>126</x:v>
      </x:c>
      <x:c r="D294" s="7" t="s">
        <x:v>127</x:v>
      </x:c>
      <x:c r="E294" s="7" t="s">
        <x:v>314</x:v>
      </x:c>
      <x:c r="F294" s="7" t="s">
        <x:v>312</x:v>
      </x:c>
      <x:c r="G294" s="7" t="n">
        <x:v>160</x:v>
      </x:c>
      <x:c r="I294" s="7" t="n">
        <x:v>3</x:v>
      </x:c>
      <x:c r="J294" s="7" t="s">
        <x:v>100</x:v>
      </x:c>
      <x:c r="K294" s="7" t="s">
        <x:v>101</x:v>
      </x:c>
    </x:row>
    <x:row r="295" ht="15" hidden="0">
      <x:c r="B295" s="8" t="n">
        <x:v>45716</x:v>
      </x:c>
      <x:c r="C295" s="7" t="s">
        <x:v>126</x:v>
      </x:c>
      <x:c r="D295" s="7" t="s">
        <x:v>127</x:v>
      </x:c>
      <x:c r="E295" s="7" t="s">
        <x:v>314</x:v>
      </x:c>
      <x:c r="F295" s="7" t="s">
        <x:v>312</x:v>
      </x:c>
      <x:c r="G295" s="7" t="n">
        <x:v>802</x:v>
      </x:c>
      <x:c r="H295" s="7" t="n">
        <x:v>264</x:v>
      </x:c>
      <x:c r="I295" s="7" t="n">
        <x:v>23</x:v>
      </x:c>
      <x:c r="J295" s="7" t="s">
        <x:v>100</x:v>
      </x:c>
      <x:c r="K295" s="7" t="s">
        <x:v>102</x:v>
      </x:c>
    </x:row>
    <x:row r="296" ht="15" hidden="0">
      <x:c r="B296" s="8" t="n">
        <x:v>45716</x:v>
      </x:c>
      <x:c r="C296" s="7" t="s">
        <x:v>126</x:v>
      </x:c>
      <x:c r="D296" s="7" t="s">
        <x:v>127</x:v>
      </x:c>
      <x:c r="E296" s="7" t="s">
        <x:v>314</x:v>
      </x:c>
      <x:c r="F296" s="7" t="s">
        <x:v>312</x:v>
      </x:c>
      <x:c r="G296" s="7" t="n">
        <x:v>102</x:v>
      </x:c>
      <x:c r="I296" s="7" t="n">
        <x:v>4</x:v>
      </x:c>
      <x:c r="J296" s="7" t="s">
        <x:v>103</x:v>
      </x:c>
      <x:c r="K296" s="7" t="s">
        <x:v>102</x:v>
      </x:c>
    </x:row>
    <x:row r="297" ht="15" hidden="0">
      <x:c r="B297" s="8" t="n">
        <x:v>45716</x:v>
      </x:c>
      <x:c r="C297" s="7" t="s">
        <x:v>157</x:v>
      </x:c>
      <x:c r="D297" s="7" t="s">
        <x:v>158</x:v>
      </x:c>
      <x:c r="E297" s="7" t="s">
        <x:v>315</x:v>
      </x:c>
      <x:c r="F297" s="7" t="s">
        <x:v>312</x:v>
      </x:c>
      <x:c r="G297" s="7" t="n">
        <x:v>54</x:v>
      </x:c>
      <x:c r="I297" s="7" t="n">
        <x:v>1</x:v>
      </x:c>
      <x:c r="J297" s="7" t="s">
        <x:v>100</x:v>
      </x:c>
      <x:c r="K297" s="7" t="s">
        <x:v>101</x:v>
      </x:c>
    </x:row>
    <x:row r="298" ht="15" hidden="0">
      <x:c r="B298" s="8" t="n">
        <x:v>45716</x:v>
      </x:c>
      <x:c r="C298" s="7" t="s">
        <x:v>157</x:v>
      </x:c>
      <x:c r="D298" s="7" t="s">
        <x:v>158</x:v>
      </x:c>
      <x:c r="E298" s="7" t="s">
        <x:v>315</x:v>
      </x:c>
      <x:c r="F298" s="7" t="s">
        <x:v>312</x:v>
      </x:c>
      <x:c r="G298" s="7" t="n">
        <x:v>596</x:v>
      </x:c>
      <x:c r="H298" s="7" t="n">
        <x:v>112</x:v>
      </x:c>
      <x:c r="I298" s="7" t="n">
        <x:v>15</x:v>
      </x:c>
      <x:c r="J298" s="7" t="s">
        <x:v>100</x:v>
      </x:c>
      <x:c r="K298" s="7" t="s">
        <x:v>102</x:v>
      </x:c>
    </x:row>
    <x:row r="299" ht="15" hidden="0">
      <x:c r="B299" s="8" t="n">
        <x:v>45716</x:v>
      </x:c>
      <x:c r="C299" s="7" t="s">
        <x:v>157</x:v>
      </x:c>
      <x:c r="D299" s="7" t="s">
        <x:v>158</x:v>
      </x:c>
      <x:c r="E299" s="7" t="s">
        <x:v>315</x:v>
      </x:c>
      <x:c r="F299" s="7" t="s">
        <x:v>312</x:v>
      </x:c>
      <x:c r="G299" s="7" t="n">
        <x:v>126</x:v>
      </x:c>
      <x:c r="I299" s="7" t="n">
        <x:v>5</x:v>
      </x:c>
      <x:c r="J299" s="7" t="s">
        <x:v>103</x:v>
      </x:c>
      <x:c r="K299" s="7" t="s">
        <x:v>102</x:v>
      </x:c>
    </x:row>
    <x:row r="300" ht="15" hidden="0">
      <x:c r="B300" s="8" t="n">
        <x:v>45717</x:v>
      </x:c>
      <x:c r="C300" s="7" t="s">
        <x:v>266</x:v>
      </x:c>
      <x:c r="D300" s="7" t="s">
        <x:v>267</x:v>
      </x:c>
      <x:c r="E300" s="7" t="s">
        <x:v>316</x:v>
      </x:c>
      <x:c r="F300" s="7" t="s">
        <x:v>312</x:v>
      </x:c>
      <x:c r="G300" s="7" t="n">
        <x:v>397</x:v>
      </x:c>
      <x:c r="I300" s="7" t="n">
        <x:v>10</x:v>
      </x:c>
      <x:c r="J300" s="7" t="s">
        <x:v>100</x:v>
      </x:c>
      <x:c r="K300" s="7" t="s">
        <x:v>102</x:v>
      </x:c>
    </x:row>
    <x:row r="301" ht="15" hidden="0">
      <x:c r="B301" s="8" t="n">
        <x:v>45717</x:v>
      </x:c>
      <x:c r="C301" s="7" t="s">
        <x:v>266</x:v>
      </x:c>
      <x:c r="D301" s="7" t="s">
        <x:v>267</x:v>
      </x:c>
      <x:c r="E301" s="7" t="s">
        <x:v>316</x:v>
      </x:c>
      <x:c r="F301" s="7" t="s">
        <x:v>312</x:v>
      </x:c>
      <x:c r="G301" s="7" t="n">
        <x:v>78</x:v>
      </x:c>
      <x:c r="I301" s="7" t="n">
        <x:v>4</x:v>
      </x:c>
      <x:c r="J301" s="7" t="s">
        <x:v>103</x:v>
      </x:c>
      <x:c r="K301" s="7" t="s">
        <x:v>102</x:v>
      </x:c>
    </x:row>
    <x:row r="302" ht="15" hidden="0">
      <x:c r="B302" s="8" t="n">
        <x:v>45718</x:v>
      </x:c>
      <x:c r="C302" s="7" t="s">
        <x:v>240</x:v>
      </x:c>
      <x:c r="D302" s="7" t="s">
        <x:v>241</x:v>
      </x:c>
      <x:c r="E302" s="7" t="s">
        <x:v>317</x:v>
      </x:c>
      <x:c r="F302" s="7" t="s">
        <x:v>312</x:v>
      </x:c>
      <x:c r="G302" s="7" t="n">
        <x:v>78</x:v>
      </x:c>
      <x:c r="I302" s="7" t="n">
        <x:v>3</x:v>
      </x:c>
      <x:c r="J302" s="7" t="s">
        <x:v>100</x:v>
      </x:c>
      <x:c r="K302" s="7" t="s">
        <x:v>101</x:v>
      </x:c>
    </x:row>
    <x:row r="303" ht="15" hidden="0">
      <x:c r="B303" s="8" t="n">
        <x:v>45718</x:v>
      </x:c>
      <x:c r="C303" s="7" t="s">
        <x:v>240</x:v>
      </x:c>
      <x:c r="D303" s="7" t="s">
        <x:v>241</x:v>
      </x:c>
      <x:c r="E303" s="7" t="s">
        <x:v>317</x:v>
      </x:c>
      <x:c r="F303" s="7" t="s">
        <x:v>312</x:v>
      </x:c>
      <x:c r="G303" s="7" t="n">
        <x:v>789</x:v>
      </x:c>
      <x:c r="I303" s="7" t="n">
        <x:v>18</x:v>
      </x:c>
      <x:c r="J303" s="7" t="s">
        <x:v>100</x:v>
      </x:c>
      <x:c r="K303" s="7" t="s">
        <x:v>102</x:v>
      </x:c>
    </x:row>
    <x:row r="304" ht="15" hidden="0">
      <x:c r="B304" s="8" t="n">
        <x:v>45718</x:v>
      </x:c>
      <x:c r="C304" s="7" t="s">
        <x:v>240</x:v>
      </x:c>
      <x:c r="D304" s="7" t="s">
        <x:v>241</x:v>
      </x:c>
      <x:c r="E304" s="7" t="s">
        <x:v>317</x:v>
      </x:c>
      <x:c r="F304" s="7" t="s">
        <x:v>312</x:v>
      </x:c>
      <x:c r="G304" s="7" t="n">
        <x:v>108</x:v>
      </x:c>
      <x:c r="I304" s="7" t="n">
        <x:v>4</x:v>
      </x:c>
      <x:c r="J304" s="7" t="s">
        <x:v>103</x:v>
      </x:c>
      <x:c r="K304" s="7" t="s">
        <x:v>102</x:v>
      </x:c>
    </x:row>
    <x:row r="305" ht="15" hidden="0">
      <x:c r="B305" s="8" t="n">
        <x:v>45718</x:v>
      </x:c>
      <x:c r="C305" s="7" t="s">
        <x:v>245</x:v>
      </x:c>
      <x:c r="D305" s="7" t="s">
        <x:v>246</x:v>
      </x:c>
      <x:c r="E305" s="7" t="s">
        <x:v>318</x:v>
      </x:c>
      <x:c r="F305" s="7" t="s">
        <x:v>312</x:v>
      </x:c>
      <x:c r="G305" s="7" t="n">
        <x:v>58</x:v>
      </x:c>
      <x:c r="I305" s="7" t="n">
        <x:v>1</x:v>
      </x:c>
      <x:c r="J305" s="7" t="s">
        <x:v>100</x:v>
      </x:c>
      <x:c r="K305" s="7" t="s">
        <x:v>101</x:v>
      </x:c>
    </x:row>
    <x:row r="306" ht="15" hidden="0">
      <x:c r="B306" s="8" t="n">
        <x:v>45718</x:v>
      </x:c>
      <x:c r="C306" s="7" t="s">
        <x:v>245</x:v>
      </x:c>
      <x:c r="D306" s="7" t="s">
        <x:v>246</x:v>
      </x:c>
      <x:c r="E306" s="7" t="s">
        <x:v>318</x:v>
      </x:c>
      <x:c r="F306" s="7" t="s">
        <x:v>312</x:v>
      </x:c>
      <x:c r="G306" s="7" t="n">
        <x:v>331</x:v>
      </x:c>
      <x:c r="I306" s="7" t="n">
        <x:v>9</x:v>
      </x:c>
      <x:c r="J306" s="7" t="s">
        <x:v>100</x:v>
      </x:c>
      <x:c r="K306" s="7" t="s">
        <x:v>102</x:v>
      </x:c>
    </x:row>
    <x:row r="307" ht="15" hidden="0">
      <x:c r="B307" s="8" t="n">
        <x:v>45718</x:v>
      </x:c>
      <x:c r="C307" s="7" t="s">
        <x:v>245</x:v>
      </x:c>
      <x:c r="D307" s="7" t="s">
        <x:v>246</x:v>
      </x:c>
      <x:c r="E307" s="7" t="s">
        <x:v>318</x:v>
      </x:c>
      <x:c r="F307" s="7" t="s">
        <x:v>312</x:v>
      </x:c>
      <x:c r="G307" s="7" t="n">
        <x:v>104</x:v>
      </x:c>
      <x:c r="I307" s="7" t="n">
        <x:v>4</x:v>
      </x:c>
      <x:c r="J307" s="7" t="s">
        <x:v>103</x:v>
      </x:c>
      <x:c r="K307" s="7" t="s">
        <x:v>102</x:v>
      </x:c>
    </x:row>
    <x:row r="308" ht="15" hidden="0">
      <x:c r="B308" s="8" t="n">
        <x:v>45718</x:v>
      </x:c>
      <x:c r="C308" s="7" t="s">
        <x:v>274</x:v>
      </x:c>
      <x:c r="D308" s="7" t="s">
        <x:v>183</x:v>
      </x:c>
      <x:c r="E308" s="7" t="s">
        <x:v>319</x:v>
      </x:c>
      <x:c r="F308" s="7" t="s">
        <x:v>312</x:v>
      </x:c>
      <x:c r="G308" s="7" t="n">
        <x:v>175</x:v>
      </x:c>
      <x:c r="H308" s="7" t="n">
        <x:v>63</x:v>
      </x:c>
      <x:c r="I308" s="7" t="n">
        <x:v>5</x:v>
      </x:c>
      <x:c r="J308" s="7" t="s">
        <x:v>100</x:v>
      </x:c>
      <x:c r="K308" s="7" t="s">
        <x:v>102</x:v>
      </x:c>
    </x:row>
    <x:row r="309" ht="15" hidden="0">
      <x:c r="B309" s="8" t="n">
        <x:v>45718</x:v>
      </x:c>
      <x:c r="C309" s="7" t="s">
        <x:v>274</x:v>
      </x:c>
      <x:c r="D309" s="7" t="s">
        <x:v>183</x:v>
      </x:c>
      <x:c r="E309" s="7" t="s">
        <x:v>319</x:v>
      </x:c>
      <x:c r="F309" s="7" t="s">
        <x:v>312</x:v>
      </x:c>
      <x:c r="G309" s="7" t="n">
        <x:v>29</x:v>
      </x:c>
      <x:c r="I309" s="7" t="n">
        <x:v>1</x:v>
      </x:c>
      <x:c r="J309" s="7" t="s">
        <x:v>103</x:v>
      </x:c>
      <x:c r="K309" s="7" t="s">
        <x:v>102</x:v>
      </x:c>
    </x:row>
    <x:row r="310" ht="15" hidden="0">
      <x:c r="B310" s="8" t="n">
        <x:v>45718</x:v>
      </x:c>
      <x:c r="C310" s="7" t="s">
        <x:v>228</x:v>
      </x:c>
      <x:c r="D310" s="7" t="s">
        <x:v>229</x:v>
      </x:c>
      <x:c r="E310" s="7" t="s">
        <x:v>320</x:v>
      </x:c>
      <x:c r="F310" s="7" t="s">
        <x:v>312</x:v>
      </x:c>
      <x:c r="G310" s="7" t="n">
        <x:v>51</x:v>
      </x:c>
      <x:c r="I310" s="7" t="n">
        <x:v>1</x:v>
      </x:c>
      <x:c r="J310" s="7" t="s">
        <x:v>100</x:v>
      </x:c>
      <x:c r="K310" s="7" t="s">
        <x:v>101</x:v>
      </x:c>
    </x:row>
    <x:row r="311" ht="15" hidden="0">
      <x:c r="B311" s="8" t="n">
        <x:v>45718</x:v>
      </x:c>
      <x:c r="C311" s="7" t="s">
        <x:v>228</x:v>
      </x:c>
      <x:c r="D311" s="7" t="s">
        <x:v>229</x:v>
      </x:c>
      <x:c r="E311" s="7" t="s">
        <x:v>320</x:v>
      </x:c>
      <x:c r="F311" s="7" t="s">
        <x:v>312</x:v>
      </x:c>
      <x:c r="G311" s="7" t="n">
        <x:v>855</x:v>
      </x:c>
      <x:c r="I311" s="7" t="n">
        <x:v>19</x:v>
      </x:c>
      <x:c r="J311" s="7" t="s">
        <x:v>100</x:v>
      </x:c>
      <x:c r="K311" s="7" t="s">
        <x:v>102</x:v>
      </x:c>
    </x:row>
    <x:row r="312" ht="15" hidden="0">
      <x:c r="B312" s="8" t="n">
        <x:v>45718</x:v>
      </x:c>
      <x:c r="C312" s="7" t="s">
        <x:v>228</x:v>
      </x:c>
      <x:c r="D312" s="7" t="s">
        <x:v>229</x:v>
      </x:c>
      <x:c r="E312" s="7" t="s">
        <x:v>320</x:v>
      </x:c>
      <x:c r="F312" s="7" t="s">
        <x:v>312</x:v>
      </x:c>
      <x:c r="G312" s="7" t="n">
        <x:v>135</x:v>
      </x:c>
      <x:c r="I312" s="7" t="n">
        <x:v>5</x:v>
      </x:c>
      <x:c r="J312" s="7" t="s">
        <x:v>103</x:v>
      </x:c>
      <x:c r="K312" s="7" t="s">
        <x:v>102</x:v>
      </x:c>
    </x:row>
  </x:sheetData>
  <x:pageMargins left="0.7" right="0.7" top="0.75" bottom="0.75" header="0.3" footer="0.3"/>
</x:worksheet>
</file>

<file path=xl/worksheets/sheet4.xml><?xml version="1.0" encoding="utf-8"?>
<x:worksheet xmlns:x="http://schemas.openxmlformats.org/spreadsheetml/2006/main">
  <x:sheetPr>
    <x:tabColor rgb="FF808080"/>
  </x:sheetPr>
  <x:sheetViews>
    <x:sheetView showGridLines="0" workbookViewId="0"/>
  </x:sheetViews>
  <x:sheetFormatPr defaultColWidth="8.6796875" defaultRowHeight="15"/>
  <x:sheetData>
    <x:row r="2" ht="15" hidden="0">
      <x:c r="B2" s="7" t="s">
        <x:v>321</x:v>
      </x:c>
      <x:c r="D2" s="7" t="s">
        <x:v>322</x:v>
      </x:c>
      <x:c r="G2" s="7" t="s">
        <x:v>323</x:v>
      </x:c>
      <x:c r="H2" s="7" t="n">
        <x:v>16481</x:v>
      </x:c>
      <x:c r="I2" s="7" t="s">
        <x:v>324</x:v>
      </x:c>
    </x:row>
    <x:row r="3" ht="15" hidden="0">
      <x:c r="B3" s="7" t="s">
        <x:v>325</x:v>
      </x:c>
      <x:c r="I3" s="7" t="n">
        <x:v>62628</x:v>
      </x:c>
    </x:row>
    <x:row r="4" ht="15" hidden="0">
      <x:c r="B4" s="7" t="s">
        <x:v>326</x:v>
      </x:c>
      <x:c r="D4" s="8" t="n">
        <x:v>45735</x:v>
      </x:c>
    </x:row>
    <x:row r="6" ht="15" hidden="0">
      <x:c r="B6" s="7" t="s">
        <x:v>75</x:v>
      </x:c>
      <x:c r="C6" s="7" t="s">
        <x:v>327</x:v>
      </x:c>
      <x:c r="D6" s="7" t="s">
        <x:v>328</x:v>
      </x:c>
      <x:c r="E6" s="7" t="s">
        <x:v>329</x:v>
      </x:c>
      <x:c r="F6" s="7" t="s">
        <x:v>330</x:v>
      </x:c>
      <x:c r="G6" s="7" t="s">
        <x:v>331</x:v>
      </x:c>
      <x:c r="H6" s="7" t="s">
        <x:v>332</x:v>
      </x:c>
      <x:c r="I6" s="7" t="s">
        <x:v>333</x:v>
      </x:c>
      <x:c r="J6" s="7" t="s">
        <x:v>334</x:v>
      </x:c>
      <x:c r="K6" s="7" t="s">
        <x:v>335</x:v>
      </x:c>
      <x:c r="L6" s="7" t="s">
        <x:v>336</x:v>
      </x:c>
      <x:c r="M6" s="7" t="s">
        <x:v>337</x:v>
      </x:c>
      <x:c r="N6" s="7" t="s">
        <x:v>338</x:v>
      </x:c>
      <x:c r="O6" s="7" t="s">
        <x:v>339</x:v>
      </x:c>
    </x:row>
    <x:row r="8" ht="15" hidden="0">
      <x:c r="A8" s="7" t="s">
        <x:v>340</x:v>
      </x:c>
      <x:c r="B8" s="7" t="s">
        <x:v>341</x:v>
      </x:c>
      <x:c r="C8" s="7" t="n">
        <x:v>1193</x:v>
      </x:c>
      <x:c r="D8" s="7" t="n">
        <x:v>11930</x:v>
      </x:c>
      <x:c r="E8" s="7" t="n">
        <x:v>5416.22</x:v>
      </x:c>
      <x:c r="F8" s="7" t="n">
        <x:v>6.75</x:v>
      </x:c>
      <x:c r="G8" s="7" t="n">
        <x:v>1327173727.5</x:v>
      </x:c>
      <x:c r="H8" s="7" t="n">
        <x:v>669823139</x:v>
      </x:c>
      <x:c r="I8" s="7" t="n">
        <x:v>124278054</x:v>
      </x:c>
      <x:c r="J8" s="7" t="n">
        <x:v>45864879</x:v>
      </x:c>
      <x:c r="K8" s="7" t="n">
        <x:v>44795855</x:v>
      </x:c>
      <x:c r="L8" s="7" t="n">
        <x:v>0</x:v>
      </x:c>
      <x:c r="M8" s="7" t="n">
        <x:v>884761927</x:v>
      </x:c>
      <x:c r="N8" s="7" t="n">
        <x:v>442411800.5</x:v>
      </x:c>
      <x:c r="O8" s="7" t="n">
        <x:v>0.333348823392829</x:v>
      </x:c>
    </x:row>
    <x:row r="9" ht="15" hidden="0">
      <x:c r="B9" s="7" t="s">
        <x:v>342</x:v>
      </x:c>
      <x:c r="C9" s="7" t="n">
        <x:v>500</x:v>
      </x:c>
      <x:c r="D9" s="7" t="n">
        <x:v>5000</x:v>
      </x:c>
      <x:c r="E9" s="7" t="n">
        <x:v>2270</x:v>
      </x:c>
      <x:c r="F9" s="7" t="n">
        <x:v>3.25</x:v>
      </x:c>
      <x:c r="G9" s="7" t="n">
        <x:v>267816250</x:v>
      </x:c>
      <x:c r="H9" s="7" t="n">
        <x:v>208808404</x:v>
      </x:c>
      <x:c r="I9" s="7" t="n">
        <x:v>52086360</x:v>
      </x:c>
      <x:c r="J9" s="7" t="n">
        <x:v>19222497</x:v>
      </x:c>
      <x:c r="K9" s="7" t="n">
        <x:v>18774457</x:v>
      </x:c>
      <x:c r="L9" s="7" t="n">
        <x:v>0</x:v>
      </x:c>
      <x:c r="M9" s="7" t="n">
        <x:v>298891718</x:v>
      </x:c>
      <x:c r="N9" s="7" t="n">
        <x:v>-31075468</x:v>
      </x:c>
      <x:c r="O9" s="7" t="n">
        <x:v>-0.116032794873351</x:v>
      </x:c>
    </x:row>
    <x:row r="10" ht="15" hidden="0">
      <x:c r="B10" s="7" t="s">
        <x:v>343</x:v>
      </x:c>
      <x:c r="C10" s="7" t="n">
        <x:v>600</x:v>
      </x:c>
      <x:c r="D10" s="7" t="n">
        <x:v>6000</x:v>
      </x:c>
      <x:c r="E10" s="7" t="n">
        <x:v>2724</x:v>
      </x:c>
      <x:c r="F10" s="7" t="n">
        <x:v>3.7</x:v>
      </x:c>
      <x:c r="G10" s="7" t="n">
        <x:v>365878200</x:v>
      </x:c>
      <x:c r="H10" s="7" t="n">
        <x:v>252767603</x:v>
      </x:c>
      <x:c r="I10" s="7" t="n">
        <x:v>62503631</x:v>
      </x:c>
      <x:c r="J10" s="7" t="n">
        <x:v>23066997</x:v>
      </x:c>
      <x:c r="K10" s="7" t="n">
        <x:v>22529348</x:v>
      </x:c>
      <x:c r="L10" s="7" t="n">
        <x:v>0</x:v>
      </x:c>
      <x:c r="M10" s="7" t="n">
        <x:v>360867579</x:v>
      </x:c>
      <x:c r="N10" s="7" t="n">
        <x:v>5010621</x:v>
      </x:c>
      <x:c r="O10" s="7" t="n">
        <x:v>0.0136947787542412</x:v>
      </x:c>
    </x:row>
    <x:row r="11" ht="15" hidden="0">
      <x:c r="B11" s="7" t="s">
        <x:v>344</x:v>
      </x:c>
      <x:c r="C11" s="7" t="n">
        <x:v>851</x:v>
      </x:c>
      <x:c r="D11" s="7" t="n">
        <x:v>8510</x:v>
      </x:c>
      <x:c r="E11" s="7" t="n">
        <x:v>3863.54</x:v>
      </x:c>
      <x:c r="F11" s="7" t="n">
        <x:v>3.8</x:v>
      </x:c>
      <x:c r="G11" s="7" t="n">
        <x:v>532962578</x:v>
      </x:c>
      <x:c r="H11" s="7" t="n">
        <x:v>323623531</x:v>
      </x:c>
      <x:c r="I11" s="7" t="n">
        <x:v>88650984</x:v>
      </x:c>
      <x:c r="J11" s="7" t="n">
        <x:v>32716690</x:v>
      </x:c>
      <x:c r="K11" s="7" t="n">
        <x:v>31954126</x:v>
      </x:c>
      <x:c r="L11" s="7" t="n">
        <x:v>0</x:v>
      </x:c>
      <x:c r="M11" s="7" t="n">
        <x:v>476945331</x:v>
      </x:c>
      <x:c r="N11" s="7" t="n">
        <x:v>56017247</x:v>
      </x:c>
      <x:c r="O11" s="7" t="n">
        <x:v>0.105105403854452</x:v>
      </x:c>
    </x:row>
    <x:row r="12" ht="15" hidden="0">
      <x:c r="B12" s="7" t="s">
        <x:v>345</x:v>
      </x:c>
      <x:c r="C12" s="7" t="n">
        <x:v>560</x:v>
      </x:c>
      <x:c r="D12" s="7" t="n">
        <x:v>5600</x:v>
      </x:c>
      <x:c r="E12" s="7" t="n">
        <x:v>2542.4</x:v>
      </x:c>
      <x:c r="F12" s="7" t="n">
        <x:v>3.8</x:v>
      </x:c>
      <x:c r="G12" s="7" t="n">
        <x:v>350715680</x:v>
      </x:c>
      <x:c r="H12" s="7" t="n">
        <x:v>248825845</x:v>
      </x:c>
      <x:c r="I12" s="7" t="n">
        <x:v>58336723</x:v>
      </x:c>
      <x:c r="J12" s="7" t="n">
        <x:v>21529197</x:v>
      </x:c>
      <x:c r="K12" s="7" t="n">
        <x:v>21027392</x:v>
      </x:c>
      <x:c r="L12" s="7" t="n">
        <x:v>0</x:v>
      </x:c>
      <x:c r="M12" s="7" t="n">
        <x:v>349719157</x:v>
      </x:c>
      <x:c r="N12" s="7" t="n">
        <x:v>996523</x:v>
      </x:c>
      <x:c r="O12" s="7" t="n">
        <x:v>0.00284139847981704</x:v>
      </x:c>
    </x:row>
    <x:row r="13" ht="15" hidden="0">
      <x:c r="B13" s="7" t="s">
        <x:v>346</x:v>
      </x:c>
      <x:c r="C13" s="7" t="n">
        <x:v>500</x:v>
      </x:c>
      <x:c r="D13" s="7" t="n">
        <x:v>5000</x:v>
      </x:c>
      <x:c r="E13" s="7" t="n">
        <x:v>2270</x:v>
      </x:c>
      <x:c r="F13" s="7" t="n">
        <x:v>3.5</x:v>
      </x:c>
      <x:c r="G13" s="7" t="n">
        <x:v>288417500</x:v>
      </x:c>
      <x:c r="H13" s="7" t="n">
        <x:v>256597007</x:v>
      </x:c>
      <x:c r="I13" s="7" t="n">
        <x:v>52086360</x:v>
      </x:c>
      <x:c r="J13" s="7" t="n">
        <x:v>19222497</x:v>
      </x:c>
      <x:c r="K13" s="7" t="n">
        <x:v>18774457</x:v>
      </x:c>
      <x:c r="L13" s="7" t="n">
        <x:v>0</x:v>
      </x:c>
      <x:c r="M13" s="7" t="n">
        <x:v>346680321</x:v>
      </x:c>
      <x:c r="N13" s="7" t="n">
        <x:v>-58262821</x:v>
      </x:c>
      <x:c r="O13" s="7" t="n">
        <x:v>-0.202008619449236</x:v>
      </x:c>
    </x:row>
    <x:row r="14" ht="15" hidden="0">
      <x:c r="B14" s="7" t="s">
        <x:v>347</x:v>
      </x:c>
      <x:c r="C14" s="7" t="n">
        <x:v>196</x:v>
      </x:c>
      <x:c r="D14" s="7" t="n">
        <x:v>1960</x:v>
      </x:c>
      <x:c r="E14" s="7" t="n">
        <x:v>889.84</x:v>
      </x:c>
      <x:c r="F14" s="7" t="n">
        <x:v>2.5</x:v>
      </x:c>
      <x:c r="G14" s="7" t="n">
        <x:v>80756900</x:v>
      </x:c>
      <x:c r="H14" s="7" t="n">
        <x:v>80070890</x:v>
      </x:c>
      <x:c r="I14" s="7" t="n">
        <x:v>20417853</x:v>
      </x:c>
      <x:c r="J14" s="7" t="n">
        <x:v>7535219</x:v>
      </x:c>
      <x:c r="K14" s="7" t="n">
        <x:v>7359587</x:v>
      </x:c>
      <x:c r="L14" s="7" t="n">
        <x:v>0</x:v>
      </x:c>
      <x:c r="M14" s="7" t="n">
        <x:v>115383549</x:v>
      </x:c>
      <x:c r="N14" s="7" t="n">
        <x:v>-34626649</x:v>
      </x:c>
      <x:c r="O14" s="7" t="n">
        <x:v>-0.428776352237394</x:v>
      </x:c>
    </x:row>
    <x:row r="16" ht="15" hidden="0">
      <x:c r="B16" s="7" t="s">
        <x:v>348</x:v>
      </x:c>
      <x:c r="C16" s="7" t="n">
        <x:v>4400</x:v>
      </x:c>
      <x:c r="D16" s="7" t="n">
        <x:v>44000</x:v>
      </x:c>
      <x:c r="E16" s="7" t="n">
        <x:v>19976</x:v>
      </x:c>
      <x:c r="G16" s="7" t="n">
        <x:v>3213720835.5</x:v>
      </x:c>
      <x:c r="H16" s="7" t="n">
        <x:v>2040516419</x:v>
      </x:c>
      <x:c r="I16" s="7" t="n">
        <x:v>458359965</x:v>
      </x:c>
      <x:c r="J16" s="7" t="n">
        <x:v>169157976</x:v>
      </x:c>
      <x:c r="K16" s="7" t="n">
        <x:v>165215222</x:v>
      </x:c>
      <x:c r="L16" s="7" t="n">
        <x:v>0</x:v>
      </x:c>
      <x:c r="M16" s="7" t="n">
        <x:v>2833249582</x:v>
      </x:c>
      <x:c r="N16" s="7" t="n">
        <x:v>380471253.5</x:v>
      </x:c>
      <x:c r="O16" s="7" t="n">
        <x:v>0.118389640225488</x:v>
      </x:c>
    </x:row>
    <x:row r="18" ht="15" hidden="0">
      <x:c r="A18" s="7" t="s">
        <x:v>349</x:v>
      </x:c>
      <x:c r="B18" s="7" t="s">
        <x:v>350</x:v>
      </x:c>
      <x:c r="E18" s="7" t="n">
        <x:v>26125.9</x:v>
      </x:c>
      <x:c r="G18" s="7" t="n">
        <x:v>0</x:v>
      </x:c>
      <x:c r="I18" s="7" t="n">
        <x:v>73123303</x:v>
      </x:c>
      <x:c r="J18" s="7" t="n">
        <x:v>26986192</x:v>
      </x:c>
      <x:c r="M18" s="7" t="n">
        <x:v>100109495</x:v>
      </x:c>
      <x:c r="N18" s="7" t="n">
        <x:v>-100109495</x:v>
      </x:c>
      <x:c r="O18" s="7" t="n">
        <x:v>0</x:v>
      </x:c>
    </x:row>
    <x:row r="19" ht="15" hidden="0">
      <x:c r="A19" s="7" t="s">
        <x:v>349</x:v>
      </x:c>
      <x:c r="B19" s="7" t="s">
        <x:v>351</x:v>
      </x:c>
      <x:c r="E19" s="7" t="n">
        <x:v>3108.4</x:v>
      </x:c>
      <x:c r="G19" s="7" t="n">
        <x:v>0</x:v>
      </x:c>
      <x:c r="I19" s="7" t="n">
        <x:v>11187732</x:v>
      </x:c>
      <x:c r="J19" s="7" t="n">
        <x:v>4128838</x:v>
      </x:c>
      <x:c r="M19" s="7" t="n">
        <x:v>15316570</x:v>
      </x:c>
      <x:c r="N19" s="7" t="n">
        <x:v>-15316570</x:v>
      </x:c>
      <x:c r="O19" s="7" t="n">
        <x:v>0</x:v>
      </x:c>
    </x:row>
    <x:row r="20" ht="15" hidden="0">
      <x:c r="A20" s="7" t="s">
        <x:v>349</x:v>
      </x:c>
      <x:c r="B20" s="7" t="s">
        <x:v>352</x:v>
      </x:c>
      <x:c r="E20" s="7" t="n">
        <x:v>4869.9</x:v>
      </x:c>
      <x:c r="G20" s="7" t="n">
        <x:v>0</x:v>
      </x:c>
      <x:c r="I20" s="7" t="n">
        <x:v>15927638</x:v>
      </x:c>
      <x:c r="J20" s="7" t="n">
        <x:v>5878103</x:v>
      </x:c>
      <x:c r="M20" s="7" t="n">
        <x:v>21805741</x:v>
      </x:c>
      <x:c r="N20" s="7" t="n">
        <x:v>-21805741</x:v>
      </x:c>
      <x:c r="O20" s="7" t="n">
        <x:v>0</x:v>
      </x:c>
    </x:row>
    <x:row r="21" ht="15" hidden="0">
      <x:c r="A21" s="7" t="s">
        <x:v>349</x:v>
      </x:c>
      <x:c r="B21" s="7" t="s">
        <x:v>353</x:v>
      </x:c>
      <x:c r="E21" s="7" t="n">
        <x:v>1920.2</x:v>
      </x:c>
      <x:c r="G21" s="7" t="n">
        <x:v>0</x:v>
      </x:c>
      <x:c r="I21" s="7" t="n">
        <x:v>7990448</x:v>
      </x:c>
      <x:c r="J21" s="7" t="n">
        <x:v>2948879</x:v>
      </x:c>
      <x:c r="M21" s="7" t="n">
        <x:v>10939327</x:v>
      </x:c>
      <x:c r="N21" s="7" t="n">
        <x:v>-10939327</x:v>
      </x:c>
      <x:c r="O21" s="7" t="n">
        <x:v>0</x:v>
      </x:c>
    </x:row>
    <x:row r="22" ht="15" hidden="0">
      <x:c r="B22" s="7" t="s">
        <x:v>354</x:v>
      </x:c>
      <x:c r="E22" s="7" t="n">
        <x:v>1314.6</x:v>
      </x:c>
      <x:c r="G22" s="7" t="n">
        <x:v>0</x:v>
      </x:c>
      <x:c r="I22" s="7" t="n">
        <x:v>6360870</x:v>
      </x:c>
      <x:c r="J22" s="7" t="n">
        <x:v>2347482</x:v>
      </x:c>
      <x:c r="M22" s="7" t="n">
        <x:v>8708352</x:v>
      </x:c>
      <x:c r="N22" s="7" t="n">
        <x:v>-8708352</x:v>
      </x:c>
      <x:c r="O22" s="7" t="n">
        <x:v>0</x:v>
      </x:c>
    </x:row>
    <x:row r="23" ht="15" hidden="0">
      <x:c r="A23" s="7" t="s">
        <x:v>349</x:v>
      </x:c>
      <x:c r="B23" s="7" t="s">
        <x:v>355</x:v>
      </x:c>
      <x:c r="E23" s="7" t="n">
        <x:v>5246.6</x:v>
      </x:c>
      <x:c r="G23" s="7" t="n">
        <x:v>0</x:v>
      </x:c>
      <x:c r="K23" s="7" t="n">
        <x:v>69195858</x:v>
      </x:c>
      <x:c r="M23" s="7" t="n">
        <x:v>69195858</x:v>
      </x:c>
      <x:c r="N23" s="7" t="n">
        <x:v>-69195858</x:v>
      </x:c>
      <x:c r="O23" s="7" t="n">
        <x:v>0</x:v>
      </x:c>
    </x:row>
    <x:row r="24" ht="15" hidden="0">
      <x:c r="B24" s="7" t="s">
        <x:v>356</x:v>
      </x:c>
      <x:c r="E24" s="7" t="n">
        <x:v>42585.6</x:v>
      </x:c>
      <x:c r="H24" s="7" t="n">
        <x:v>1154490059</x:v>
      </x:c>
      <x:c r="I24" s="7" t="n">
        <x:v>114589991</x:v>
      </x:c>
      <x:c r="J24" s="7" t="n">
        <x:v>42289494</x:v>
      </x:c>
      <x:c r="L24" s="7" t="n">
        <x:v>0</x:v>
      </x:c>
      <x:c r="M24" s="7" t="n">
        <x:v>1311369544</x:v>
      </x:c>
      <x:c r="O24" s="7" t="n">
        <x:v>0</x:v>
      </x:c>
    </x:row>
    <x:row r="25" ht="15" hidden="0">
      <x:c r="A25" s="7" t="n">
        <x:v>35.553</x:v>
      </x:c>
      <x:c r="B25" s="7" t="s">
        <x:v>357</x:v>
      </x:c>
      <x:c r="D25" s="7" t="n">
        <x:v>62561.67</x:v>
      </x:c>
      <x:c r="E25" s="7" t="n">
        <x:v>62561.6</x:v>
      </x:c>
      <x:c r="G25" s="7" t="n">
        <x:v>3213720835.5</x:v>
      </x:c>
      <x:c r="H25" s="7" t="n">
        <x:v>3195006478</x:v>
      </x:c>
      <x:c r="I25" s="7" t="n">
        <x:v>572949956</x:v>
      </x:c>
      <x:c r="J25" s="7" t="n">
        <x:v>211447470</x:v>
      </x:c>
      <x:c r="K25" s="7" t="n">
        <x:v>165215222</x:v>
      </x:c>
      <x:c r="L25" s="7" t="n">
        <x:v>0</x:v>
      </x:c>
      <x:c r="M25" s="7" t="n">
        <x:v>4144619126</x:v>
      </x:c>
      <x:c r="N25" s="7" t="n">
        <x:v>380471253</x:v>
      </x:c>
      <x:c r="O25" s="7" t="n">
        <x:v>0.118</x:v>
      </x:c>
    </x:row>
    <x:row r="26" ht="15" hidden="0">
      <x:c r="E26" s="7" t="n">
        <x:v>44641.32</x:v>
      </x:c>
    </x:row>
    <x:row r="27" ht="15" hidden="0">
      <x:c r="A27" s="7" t="n">
        <x:v>0.0006</x:v>
      </x:c>
      <x:c r="B27" s="7" t="s">
        <x:v>332</x:v>
      </x:c>
      <x:c r="D27" s="7" t="n">
        <x:v>62526.12</x:v>
      </x:c>
      <x:c r="F27" s="7" t="n">
        <x:v>3195006479</x:v>
      </x:c>
      <x:c r="G27" s="7" t="n">
        <x:v>1970638583</x:v>
      </x:c>
      <x:c r="I27" s="7" t="s">
        <x:v>358</x:v>
      </x:c>
      <x:c r="Q27" s="7" t="n">
        <x:v>2231052000</x:v>
      </x:c>
      <x:c r="V27" s="7" t="s">
        <x:v>359</x:v>
      </x:c>
      <x:c r="X27" s="7" t="s">
        <x:v>360</x:v>
      </x:c>
      <x:c r="Y27" s="7" t="s">
        <x:v>361</x:v>
      </x:c>
    </x:row>
    <x:row r="28" ht="15" hidden="0">
      <x:c r="B28" s="7" t="s">
        <x:v>362</x:v>
      </x:c>
      <x:c r="D28" s="7" t="n">
        <x:v>50136</x:v>
      </x:c>
      <x:c r="E28" s="7" t="n">
        <x:v>44500</x:v>
      </x:c>
      <x:c r="F28" s="7" t="n">
        <x:v>2231052000</x:v>
      </x:c>
      <x:c r="I28" s="7" t="s">
        <x:v>362</x:v>
      </x:c>
      <x:c r="J28" s="7" t="s">
        <x:v>350</x:v>
      </x:c>
      <x:c r="K28" s="7" t="s">
        <x:v>363</x:v>
      </x:c>
      <x:c r="L28" s="7" t="n">
        <x:v>0.0658</x:v>
      </x:c>
      <x:c r="M28" s="7" t="n">
        <x:v>3298.95</x:v>
      </x:c>
      <x:c r="N28" s="7" t="n">
        <x:v>16000</x:v>
      </x:c>
      <x:c r="O28" s="7" t="n">
        <x:v>52783181</x:v>
      </x:c>
      <x:c r="P28" s="7" t="s">
        <x:v>364</x:v>
      </x:c>
      <x:c r="Q28" s="7" t="n">
        <x:v>983497858</x:v>
      </x:c>
      <x:c r="S28" s="7" t="n">
        <x:v>3200.3</x:v>
      </x:c>
      <x:c r="V28" s="7" t="n">
        <x:v>0.7278</x:v>
      </x:c>
      <x:c r="X28" s="7" t="n">
        <x:v>0.7278</x:v>
      </x:c>
      <x:c r="Y28" s="7" t="n">
        <x:v>0</x:v>
      </x:c>
    </x:row>
    <x:row r="29" ht="15" hidden="0">
      <x:c r="B29" s="7" t="s">
        <x:v>365</x:v>
      </x:c>
      <x:c r="E29" s="7" t="n">
        <x:v>0</x:v>
      </x:c>
      <x:c r="F29" s="7" t="n">
        <x:v>0</x:v>
      </x:c>
      <x:c r="I29" s="7" t="s">
        <x:v>362</x:v>
      </x:c>
      <x:c r="J29" s="7" t="s">
        <x:v>350</x:v>
      </x:c>
      <x:c r="K29" s="7" t="s">
        <x:v>363</x:v>
      </x:c>
      <x:c r="L29" s="7" t="n">
        <x:v>0.0284</x:v>
      </x:c>
      <x:c r="M29" s="7" t="n">
        <x:v>1423.86</x:v>
      </x:c>
      <x:c r="N29" s="7" t="n">
        <x:v>16000</x:v>
      </x:c>
      <x:c r="O29" s="7" t="n">
        <x:v>22781798</x:v>
      </x:c>
      <x:c r="P29" s="7" t="s">
        <x:v>366</x:v>
      </x:c>
      <x:c r="Q29" s="7" t="n">
        <x:v>1247554142</x:v>
      </x:c>
      <x:c r="S29" s="7" t="n">
        <x:v>1593.5</x:v>
      </x:c>
    </x:row>
    <x:row r="30" ht="15" hidden="0">
      <x:c r="B30" s="7" t="s">
        <x:v>367</x:v>
      </x:c>
      <x:c r="E30" s="7" t="n">
        <x:v>0</x:v>
      </x:c>
      <x:c r="F30" s="7" t="n">
        <x:v>0</x:v>
      </x:c>
      <x:c r="I30" s="7" t="s">
        <x:v>362</x:v>
      </x:c>
      <x:c r="J30" s="7" t="s">
        <x:v>350</x:v>
      </x:c>
      <x:c r="K30" s="7" t="s">
        <x:v>368</x:v>
      </x:c>
      <x:c r="L30" s="7" t="n">
        <x:v>0.0921</x:v>
      </x:c>
      <x:c r="M30" s="7" t="n">
        <x:v>4617.53</x:v>
      </x:c>
      <x:c r="N30" s="7" t="n">
        <x:v>20000</x:v>
      </x:c>
      <x:c r="O30" s="7" t="n">
        <x:v>92350512</x:v>
      </x:c>
      <x:c r="S30" s="7" t="n">
        <x:v>1776.1</x:v>
      </x:c>
    </x:row>
    <x:row r="31" ht="15" hidden="0">
      <x:c r="B31" s="7" t="s">
        <x:v>351</x:v>
      </x:c>
      <x:c r="D31" s="7" t="n">
        <x:v>8643</x:v>
      </x:c>
      <x:c r="E31" s="7" t="n">
        <x:v>70000</x:v>
      </x:c>
      <x:c r="F31" s="7" t="n">
        <x:v>605010000</x:v>
      </x:c>
      <x:c r="I31" s="7" t="s">
        <x:v>362</x:v>
      </x:c>
      <x:c r="J31" s="7" t="s">
        <x:v>350</x:v>
      </x:c>
      <x:c r="K31" s="7" t="s">
        <x:v>369</x:v>
      </x:c>
      <x:c r="L31" s="7" t="n">
        <x:v>0.0014</x:v>
      </x:c>
      <x:c r="M31" s="7" t="n">
        <x:v>70.19</x:v>
      </x:c>
      <x:c r="N31" s="7" t="n">
        <x:v>10000</x:v>
      </x:c>
      <x:c r="O31" s="7" t="n">
        <x:v>701904</x:v>
      </x:c>
    </x:row>
    <x:row r="32" ht="15" hidden="0">
      <x:c r="B32" s="7" t="s">
        <x:v>352</x:v>
      </x:c>
      <x:c r="D32" s="7" t="n">
        <x:v>0</x:v>
      </x:c>
      <x:c r="E32" s="7" t="n">
        <x:v>0</x:v>
      </x:c>
      <x:c r="F32" s="7" t="n">
        <x:v>0</x:v>
      </x:c>
      <x:c r="I32" s="7" t="s">
        <x:v>362</x:v>
      </x:c>
      <x:c r="J32" s="7" t="s">
        <x:v>350</x:v>
      </x:c>
      <x:c r="K32" s="7" t="s">
        <x:v>370</x:v>
      </x:c>
      <x:c r="L32" s="7" t="n">
        <x:v>0.0281</x:v>
      </x:c>
      <x:c r="M32" s="7" t="n">
        <x:v>1408.82</x:v>
      </x:c>
      <x:c r="N32" s="7" t="n">
        <x:v>28000</x:v>
      </x:c>
      <x:c r="O32" s="7" t="n">
        <x:v>39447005</x:v>
      </x:c>
      <x:c r="S32" s="7" t="n">
        <x:v>36489</x:v>
      </x:c>
    </x:row>
    <x:row r="33" ht="15" hidden="0">
      <x:c r="B33" s="7" t="s">
        <x:v>371</x:v>
      </x:c>
      <x:c r="F33" s="7" t="n">
        <x:v>0</x:v>
      </x:c>
      <x:c r="I33" s="7" t="s">
        <x:v>362</x:v>
      </x:c>
      <x:c r="J33" s="7" t="s">
        <x:v>350</x:v>
      </x:c>
      <x:c r="K33" s="7" t="s">
        <x:v>372</x:v>
      </x:c>
      <x:c r="L33" s="7" t="n">
        <x:v>0.1209</x:v>
      </x:c>
      <x:c r="M33" s="7" t="n">
        <x:v>6061.44</x:v>
      </x:c>
      <x:c r="N33" s="7" t="n">
        <x:v>5000</x:v>
      </x:c>
      <x:c r="O33" s="7" t="n">
        <x:v>30307212</x:v>
      </x:c>
    </x:row>
    <x:row r="34" ht="15" hidden="0">
      <x:c r="B34" s="7" t="s">
        <x:v>373</x:v>
      </x:c>
      <x:c r="F34" s="7" t="n">
        <x:v>0</x:v>
      </x:c>
      <x:c r="I34" s="7" t="s">
        <x:v>362</x:v>
      </x:c>
      <x:c r="J34" s="7" t="s">
        <x:v>350</x:v>
      </x:c>
      <x:c r="K34" s="7" t="s">
        <x:v>93</x:v>
      </x:c>
      <x:c r="L34" s="7" t="n">
        <x:v>0.0157</x:v>
      </x:c>
      <x:c r="M34" s="7" t="n">
        <x:v>787.14</x:v>
      </x:c>
      <x:c r="N34" s="7" t="n">
        <x:v>3000</x:v>
      </x:c>
      <x:c r="O34" s="7" t="n">
        <x:v>2361406</x:v>
      </x:c>
    </x:row>
    <x:row r="35" ht="15" hidden="0">
      <x:c r="B35" s="7" t="s">
        <x:v>374</x:v>
      </x:c>
      <x:c r="F35" s="7" t="n">
        <x:v>0</x:v>
      </x:c>
      <x:c r="I35" s="7" t="s">
        <x:v>362</x:v>
      </x:c>
      <x:c r="J35" s="7" t="s">
        <x:v>350</x:v>
      </x:c>
      <x:c r="K35" s="7" t="s">
        <x:v>375</x:v>
      </x:c>
      <x:c r="L35" s="7" t="n">
        <x:v>0.0469</x:v>
      </x:c>
      <x:c r="M35" s="7" t="n">
        <x:v>2351.38</x:v>
      </x:c>
      <x:c r="N35" s="7" t="n">
        <x:v>0</x:v>
      </x:c>
      <x:c r="O35" s="7" t="n">
        <x:v>0</x:v>
      </x:c>
    </x:row>
    <x:row r="36" ht="15" hidden="0">
      <x:c r="B36" s="7" t="s">
        <x:v>376</x:v>
      </x:c>
      <x:c r="D36" s="7" t="n">
        <x:v>181.41</x:v>
      </x:c>
      <x:c r="E36" s="7" t="n">
        <x:v>109600</x:v>
      </x:c>
      <x:c r="F36" s="7" t="n">
        <x:v>19882536</x:v>
      </x:c>
      <x:c r="I36" s="7" t="s">
        <x:v>362</x:v>
      </x:c>
      <x:c r="J36" s="7" t="s">
        <x:v>350</x:v>
      </x:c>
      <x:c r="K36" s="7" t="s">
        <x:v>377</x:v>
      </x:c>
      <x:c r="L36" s="7" t="n">
        <x:v>0.0365</x:v>
      </x:c>
      <x:c r="M36" s="7" t="n">
        <x:v>1829.96</x:v>
      </x:c>
      <x:c r="N36" s="7" t="n">
        <x:v>0</x:v>
      </x:c>
      <x:c r="O36" s="7" t="n">
        <x:v>0</x:v>
      </x:c>
    </x:row>
    <x:row r="37" ht="15" hidden="0">
      <x:c r="B37" s="7" t="s">
        <x:v>378</x:v>
      </x:c>
      <x:c r="D37" s="7" t="n">
        <x:v>2121.67</x:v>
      </x:c>
      <x:c r="E37" s="7" t="n">
        <x:v>92550</x:v>
      </x:c>
      <x:c r="F37" s="7" t="n">
        <x:v>196360559</x:v>
      </x:c>
      <x:c r="I37" s="7" t="s">
        <x:v>362</x:v>
      </x:c>
      <x:c r="J37" s="7" t="s">
        <x:v>350</x:v>
      </x:c>
      <x:c r="K37" s="7" t="s">
        <x:v>379</x:v>
      </x:c>
      <x:c r="L37" s="7" t="n">
        <x:v>0.003</x:v>
      </x:c>
      <x:c r="M37" s="7" t="n">
        <x:v>150.41</x:v>
      </x:c>
      <x:c r="N37" s="7" t="n">
        <x:v>7500</x:v>
      </x:c>
      <x:c r="O37" s="7" t="n">
        <x:v>1128060</x:v>
      </x:c>
    </x:row>
    <x:row r="38" ht="15" hidden="0">
      <x:c r="B38" s="7" t="s">
        <x:v>380</x:v>
      </x:c>
      <x:c r="D38" s="7" t="n">
        <x:v>1083.52</x:v>
      </x:c>
      <x:c r="E38" s="7" t="n">
        <x:v>98700</x:v>
      </x:c>
      <x:c r="F38" s="7" t="n">
        <x:v>106943424</x:v>
      </x:c>
      <x:c r="I38" s="7" t="s">
        <x:v>362</x:v>
      </x:c>
      <x:c r="J38" s="7" t="s">
        <x:v>350</x:v>
      </x:c>
      <x:c r="K38" s="7" t="s">
        <x:v>381</x:v>
      </x:c>
      <x:c r="L38" s="7" t="n">
        <x:v>0.0053</x:v>
      </x:c>
      <x:c r="M38" s="7" t="n">
        <x:v>265.72</x:v>
      </x:c>
      <x:c r="N38" s="7" t="n">
        <x:v>0</x:v>
      </x:c>
      <x:c r="O38" s="7" t="n">
        <x:v>0</x:v>
      </x:c>
    </x:row>
    <x:row r="39" ht="15" hidden="0">
      <x:c r="B39" s="7" t="s">
        <x:v>382</x:v>
      </x:c>
      <x:c r="D39" s="7" t="n">
        <x:v>325.24</x:v>
      </x:c>
      <x:c r="E39" s="7" t="n">
        <x:v>98700</x:v>
      </x:c>
      <x:c r="F39" s="7" t="n">
        <x:v>32101188</x:v>
      </x:c>
      <x:c r="I39" s="7" t="s">
        <x:v>362</x:v>
      </x:c>
      <x:c r="J39" s="7" t="s">
        <x:v>350</x:v>
      </x:c>
      <x:c r="K39" s="7" t="s">
        <x:v>383</x:v>
      </x:c>
      <x:c r="L39" s="7" t="n">
        <x:v>0.04</x:v>
      </x:c>
      <x:c r="M39" s="7" t="n">
        <x:v>2005.44</x:v>
      </x:c>
      <x:c r="N39" s="7" t="n">
        <x:v>20000</x:v>
      </x:c>
      <x:c r="O39" s="7" t="n">
        <x:v>40108800</x:v>
      </x:c>
    </x:row>
    <x:row r="40" ht="15" hidden="0">
      <x:c r="B40" s="7" t="s">
        <x:v>384</x:v>
      </x:c>
      <x:c r="D40" s="7" t="n">
        <x:v>35.28</x:v>
      </x:c>
      <x:c r="E40" s="7" t="n">
        <x:v>103650</x:v>
      </x:c>
      <x:c r="F40" s="7" t="n">
        <x:v>3656772</x:v>
      </x:c>
      <x:c r="I40" s="7" t="s">
        <x:v>362</x:v>
      </x:c>
      <x:c r="J40" s="7" t="s">
        <x:v>351</x:v>
      </x:c>
      <x:c r="K40" s="7" t="s">
        <x:v>351</x:v>
      </x:c>
      <x:c r="L40" s="7" t="n">
        <x:v>0.062</x:v>
      </x:c>
      <x:c r="M40" s="7" t="n">
        <x:v>3108.43</x:v>
      </x:c>
      <x:c r="N40" s="7" t="n">
        <x:v>68000</x:v>
      </x:c>
      <x:c r="O40" s="7" t="n">
        <x:v>211373376</x:v>
      </x:c>
    </x:row>
    <x:row r="41" ht="15" hidden="0">
      <x:c r="B41" s="7" t="s">
        <x:v>385</x:v>
      </x:c>
      <x:c r="E41" s="7" t="n">
        <x:v>92550</x:v>
      </x:c>
      <x:c r="F41" s="7" t="n">
        <x:v>0</x:v>
      </x:c>
      <x:c r="I41" s="7" t="s">
        <x:v>362</x:v>
      </x:c>
      <x:c r="J41" s="7" t="s">
        <x:v>352</x:v>
      </x:c>
      <x:c r="K41" s="7" t="s">
        <x:v>352</x:v>
      </x:c>
      <x:c r="L41" s="7" t="n">
        <x:v>0.073</x:v>
      </x:c>
      <x:c r="M41" s="7" t="n">
        <x:v>3659.93</x:v>
      </x:c>
      <x:c r="N41" s="7" t="n">
        <x:v>68000</x:v>
      </x:c>
      <x:c r="O41" s="7" t="n">
        <x:v>248875104</x:v>
      </x:c>
    </x:row>
    <x:row r="42" ht="15" hidden="0">
      <x:c r="B42" s="7" t="s">
        <x:v>386</x:v>
      </x:c>
      <x:c r="E42" s="7" t="n">
        <x:v>70000</x:v>
      </x:c>
      <x:c r="F42" s="7" t="n">
        <x:v>0</x:v>
      </x:c>
      <x:c r="I42" s="7" t="s">
        <x:v>362</x:v>
      </x:c>
      <x:c r="J42" s="7" t="s">
        <x:v>353</x:v>
      </x:c>
      <x:c r="K42" s="7" t="s">
        <x:v>387</x:v>
      </x:c>
      <x:c r="L42" s="7" t="n">
        <x:v>0.0103</x:v>
      </x:c>
      <x:c r="M42" s="7" t="n">
        <x:v>516.4</x:v>
      </x:c>
      <x:c r="N42" s="7" t="n">
        <x:v>75000</x:v>
      </x:c>
      <x:c r="O42" s="7" t="n">
        <x:v>38730060</x:v>
      </x:c>
    </x:row>
    <x:row r="43" ht="15" hidden="0">
      <x:c r="I43" s="7" t="s">
        <x:v>362</x:v>
      </x:c>
      <x:c r="J43" s="7" t="s">
        <x:v>353</x:v>
      </x:c>
      <x:c r="K43" s="7" t="s">
        <x:v>388</x:v>
      </x:c>
      <x:c r="L43" s="7" t="n">
        <x:v>0.028</x:v>
      </x:c>
      <x:c r="M43" s="7" t="n">
        <x:v>1403.81</x:v>
      </x:c>
      <x:c r="N43" s="7" t="n">
        <x:v>65000</x:v>
      </x:c>
      <x:c r="O43" s="7" t="n">
        <x:v>91247520</x:v>
      </x:c>
    </x:row>
    <x:row r="44" ht="15" hidden="0">
      <x:c r="I44" s="7" t="s">
        <x:v>362</x:v>
      </x:c>
      <x:c r="J44" s="7" t="s">
        <x:v>350</x:v>
      </x:c>
      <x:c r="K44" s="7" t="s">
        <x:v>354</x:v>
      </x:c>
      <x:c r="L44" s="7" t="n">
        <x:v>0.037</x:v>
      </x:c>
      <x:c r="M44" s="7" t="n">
        <x:v>1855.03</x:v>
      </x:c>
      <x:c r="N44" s="7" t="n">
        <x:v>60000</x:v>
      </x:c>
      <x:c r="O44" s="7" t="n">
        <x:v>111301920</x:v>
      </x:c>
    </x:row>
    <x:row r="45" ht="15" hidden="0">
      <x:c r="B45" s="7" t="s">
        <x:v>389</x:v>
      </x:c>
      <x:c r="D45" s="7" t="s">
        <x:v>390</x:v>
      </x:c>
      <x:c r="E45" s="7" t="s">
        <x:v>391</x:v>
      </x:c>
      <x:c r="F45" s="7" t="s">
        <x:v>362</x:v>
      </x:c>
      <x:c r="I45" s="7" t="s">
        <x:v>362</x:v>
      </x:c>
      <x:c r="J45" s="7" t="s">
        <x:v>355</x:v>
      </x:c>
      <x:c r="K45" s="7" t="s">
        <x:v>355</x:v>
      </x:c>
      <x:c r="L45" s="7" t="n">
        <x:v>0.0334</x:v>
      </x:c>
      <x:c r="M45" s="7" t="n">
        <x:v>1750.86</x:v>
      </x:c>
      <x:c r="N45" s="7" t="n">
        <x:v>0</x:v>
      </x:c>
      <x:c r="O45" s="7" t="n">
        <x:v>0</x:v>
      </x:c>
    </x:row>
    <x:row r="46" ht="15" hidden="0">
      <x:c r="B46" s="7" t="s">
        <x:v>371</x:v>
      </x:c>
      <x:c r="D46" s="7" t="n">
        <x:v>0</x:v>
      </x:c>
      <x:c r="E46" s="7" t="n">
        <x:v>0</x:v>
      </x:c>
      <x:c r="F46" s="7" t="n">
        <x:v>0</x:v>
      </x:c>
      <x:c r="I46" s="7" t="s">
        <x:v>367</x:v>
      </x:c>
      <x:c r="J46" s="7" t="s">
        <x:v>351</x:v>
      </x:c>
      <x:c r="K46" s="7" t="s">
        <x:v>351</x:v>
      </x:c>
      <x:c r="N46" s="7" t="n">
        <x:v>93000</x:v>
      </x:c>
      <x:c r="O46" s="7" t="n">
        <x:v>0</x:v>
      </x:c>
    </x:row>
    <x:row r="47" ht="15" hidden="0">
      <x:c r="B47" s="7" t="s">
        <x:v>373</x:v>
      </x:c>
      <x:c r="D47" s="7" t="n">
        <x:v>0</x:v>
      </x:c>
      <x:c r="E47" s="7" t="n">
        <x:v>0</x:v>
      </x:c>
      <x:c r="F47" s="7" t="n">
        <x:v>0</x:v>
      </x:c>
      <x:c r="I47" s="7" t="s">
        <x:v>367</x:v>
      </x:c>
      <x:c r="J47" s="7" t="s">
        <x:v>352</x:v>
      </x:c>
      <x:c r="K47" s="7" t="s">
        <x:v>352</x:v>
      </x:c>
      <x:c r="N47" s="7" t="n">
        <x:v>93000</x:v>
      </x:c>
      <x:c r="O47" s="7" t="n">
        <x:v>0</x:v>
      </x:c>
    </x:row>
    <x:row r="48" ht="15" hidden="0">
      <x:c r="B48" s="7" t="s">
        <x:v>374</x:v>
      </x:c>
      <x:c r="D48" s="7" t="n">
        <x:v>0</x:v>
      </x:c>
      <x:c r="E48" s="7" t="n">
        <x:v>0</x:v>
      </x:c>
      <x:c r="F48" s="7" t="n">
        <x:v>0</x:v>
      </x:c>
      <x:c r="I48" s="7" t="s">
        <x:v>367</x:v>
      </x:c>
      <x:c r="J48" s="7" t="s">
        <x:v>354</x:v>
      </x:c>
      <x:c r="K48" s="7" t="s">
        <x:v>354</x:v>
      </x:c>
      <x:c r="N48" s="7" t="n">
        <x:v>18000</x:v>
      </x:c>
      <x:c r="O48" s="7" t="n">
        <x:v>0</x:v>
      </x:c>
    </x:row>
    <x:row r="49" ht="15" hidden="0">
      <x:c r="B49" s="7" t="s">
        <x:v>376</x:v>
      </x:c>
      <x:c r="D49" s="7" t="n">
        <x:v>0</x:v>
      </x:c>
      <x:c r="E49" s="7" t="n">
        <x:v>0</x:v>
      </x:c>
      <x:c r="F49" s="7" t="n">
        <x:v>0</x:v>
      </x:c>
      <x:c r="I49" s="7" t="s">
        <x:v>367</x:v>
      </x:c>
      <x:c r="J49" s="7" t="s">
        <x:v>355</x:v>
      </x:c>
      <x:c r="K49" s="7" t="s">
        <x:v>355</x:v>
      </x:c>
      <x:c r="N49" s="7" t="n">
        <x:v>0</x:v>
      </x:c>
      <x:c r="O49" s="7" t="n">
        <x:v>0</x:v>
      </x:c>
    </x:row>
    <x:row r="50" ht="15" hidden="0">
      <x:c r="B50" s="7" t="s">
        <x:v>378</x:v>
      </x:c>
      <x:c r="D50" s="7" t="n">
        <x:v>0</x:v>
      </x:c>
      <x:c r="E50" s="7" t="n">
        <x:v>0</x:v>
      </x:c>
      <x:c r="F50" s="7" t="n">
        <x:v>0</x:v>
      </x:c>
      <x:c r="I50" s="7" t="s">
        <x:v>392</x:v>
      </x:c>
      <x:c r="J50" s="7" t="s">
        <x:v>351</x:v>
      </x:c>
      <x:c r="K50" s="7" t="s">
        <x:v>351</x:v>
      </x:c>
      <x:c r="L50" s="7" t="n">
        <x:v>0.09</x:v>
      </x:c>
      <x:c r="M50" s="7" t="n">
        <x:v>0</x:v>
      </x:c>
      <x:c r="N50" s="7" t="n">
        <x:v>93000</x:v>
      </x:c>
      <x:c r="O50" s="7" t="n">
        <x:v>0</x:v>
      </x:c>
    </x:row>
    <x:row r="51" ht="15" hidden="0">
      <x:c r="B51" s="7" t="s">
        <x:v>380</x:v>
      </x:c>
      <x:c r="D51" s="7" t="n">
        <x:v>0</x:v>
      </x:c>
      <x:c r="E51" s="7" t="n">
        <x:v>0</x:v>
      </x:c>
      <x:c r="F51" s="7" t="n">
        <x:v>0</x:v>
      </x:c>
      <x:c r="I51" s="7" t="s">
        <x:v>392</x:v>
      </x:c>
      <x:c r="J51" s="7" t="s">
        <x:v>352</x:v>
      </x:c>
      <x:c r="K51" s="7" t="s">
        <x:v>352</x:v>
      </x:c>
      <x:c r="L51" s="7" t="n">
        <x:v>0.09</x:v>
      </x:c>
      <x:c r="M51" s="7" t="n">
        <x:v>0</x:v>
      </x:c>
      <x:c r="N51" s="7" t="n">
        <x:v>93000</x:v>
      </x:c>
      <x:c r="O51" s="7" t="n">
        <x:v>0</x:v>
      </x:c>
    </x:row>
    <x:row r="52" ht="15" hidden="0">
      <x:c r="B52" s="7" t="s">
        <x:v>382</x:v>
      </x:c>
      <x:c r="D52" s="7" t="n">
        <x:v>0</x:v>
      </x:c>
      <x:c r="E52" s="7" t="n">
        <x:v>0</x:v>
      </x:c>
      <x:c r="F52" s="7" t="n">
        <x:v>0</x:v>
      </x:c>
      <x:c r="I52" s="7" t="s">
        <x:v>392</x:v>
      </x:c>
      <x:c r="J52" s="7" t="s">
        <x:v>354</x:v>
      </x:c>
      <x:c r="K52" s="7" t="s">
        <x:v>354</x:v>
      </x:c>
      <x:c r="L52" s="7" t="n">
        <x:v>0.09</x:v>
      </x:c>
      <x:c r="M52" s="7" t="n">
        <x:v>0</x:v>
      </x:c>
      <x:c r="N52" s="7" t="n">
        <x:v>18000</x:v>
      </x:c>
      <x:c r="O52" s="7" t="n">
        <x:v>0</x:v>
      </x:c>
    </x:row>
    <x:row r="53" ht="15" hidden="0">
      <x:c r="B53" s="7" t="s">
        <x:v>384</x:v>
      </x:c>
      <x:c r="D53" s="7" t="n">
        <x:v>0</x:v>
      </x:c>
      <x:c r="E53" s="7" t="n">
        <x:v>0</x:v>
      </x:c>
      <x:c r="F53" s="7" t="n">
        <x:v>0</x:v>
      </x:c>
      <x:c r="I53" s="7" t="s">
        <x:v>392</x:v>
      </x:c>
      <x:c r="J53" s="7" t="s">
        <x:v>355</x:v>
      </x:c>
      <x:c r="K53" s="7" t="s">
        <x:v>355</x:v>
      </x:c>
      <x:c r="L53" s="7" t="n">
        <x:v>0.03</x:v>
      </x:c>
      <x:c r="M53" s="7" t="n">
        <x:v>0</x:v>
      </x:c>
      <x:c r="N53" s="7" t="n">
        <x:v>0</x:v>
      </x:c>
      <x:c r="O53" s="7" t="n">
        <x:v>0</x:v>
      </x:c>
    </x:row>
    <x:row r="54" ht="15" hidden="0">
      <x:c r="B54" s="7" t="s">
        <x:v>385</x:v>
      </x:c>
      <x:c r="D54" s="7" t="n">
        <x:v>0</x:v>
      </x:c>
      <x:c r="E54" s="7" t="n">
        <x:v>0</x:v>
      </x:c>
      <x:c r="F54" s="7" t="n">
        <x:v>0</x:v>
      </x:c>
      <x:c r="I54" s="7" t="s">
        <x:v>351</x:v>
      </x:c>
      <x:c r="J54" s="7" t="s">
        <x:v>352</x:v>
      </x:c>
      <x:c r="K54" s="7" t="s">
        <x:v>352</x:v>
      </x:c>
      <x:c r="L54" s="7" t="n">
        <x:v>0.14</x:v>
      </x:c>
      <x:c r="M54" s="7" t="n">
        <x:v>1210.02</x:v>
      </x:c>
      <x:c r="N54" s="7" t="n">
        <x:v>68000</x:v>
      </x:c>
      <x:c r="O54" s="7" t="n">
        <x:v>82281360</x:v>
      </x:c>
      <x:c r="S54" s="7" t="n">
        <x:v>0.6924</x:v>
      </x:c>
      <x:c r="W54" s="7" t="n">
        <x:v>0.7013</x:v>
      </x:c>
      <x:c r="X54" s="7" t="n">
        <x:v>0.0089</x:v>
      </x:c>
    </x:row>
    <x:row r="55" ht="15" hidden="0">
      <x:c r="B55" s="7" t="s">
        <x:v>386</x:v>
      </x:c>
      <x:c r="D55" s="7" t="n">
        <x:v>0</x:v>
      </x:c>
      <x:c r="E55" s="7" t="n">
        <x:v>0</x:v>
      </x:c>
      <x:c r="F55" s="7" t="n">
        <x:v>0</x:v>
      </x:c>
      <x:c r="I55" s="7" t="s">
        <x:v>351</x:v>
      </x:c>
      <x:c r="J55" s="7" t="s">
        <x:v>354</x:v>
      </x:c>
      <x:c r="K55" s="7" t="s">
        <x:v>354</x:v>
      </x:c>
      <x:c r="L55" s="7" t="n">
        <x:v>0.1521</x:v>
      </x:c>
      <x:c r="M55" s="7" t="n">
        <x:v>1314.6</x:v>
      </x:c>
      <x:c r="N55" s="7" t="n">
        <x:v>68000</x:v>
      </x:c>
      <x:c r="O55" s="7" t="n">
        <x:v>89392820</x:v>
      </x:c>
    </x:row>
    <x:row r="56" ht="15" hidden="0">
      <x:c r="I56" s="7" t="s">
        <x:v>351</x:v>
      </x:c>
      <x:c r="J56" s="7" t="s">
        <x:v>355</x:v>
      </x:c>
      <x:c r="K56" s="7" t="s">
        <x:v>368</x:v>
      </x:c>
      <x:c r="L56" s="7" t="n">
        <x:v>0.4003</x:v>
      </x:c>
      <x:c r="M56" s="7" t="n">
        <x:v>3459.79</x:v>
      </x:c>
      <x:c r="N56" s="7" t="n">
        <x:v>20000</x:v>
      </x:c>
      <x:c r="O56" s="7" t="n">
        <x:v>69195858</x:v>
      </x:c>
    </x:row>
    <x:row r="57" ht="15" hidden="0">
      <x:c r="B57" s="7" t="s">
        <x:v>393</x:v>
      </x:c>
      <x:c r="D57" s="7" t="n">
        <x:v>0</x:v>
      </x:c>
      <x:c r="E57" s="7" t="n">
        <x:v>0</x:v>
      </x:c>
      <x:c r="F57" s="7" t="n">
        <x:v>0</x:v>
      </x:c>
      <x:c r="I57" s="7" t="s">
        <x:v>352</x:v>
      </x:c>
      <x:c r="J57" s="7" t="s">
        <x:v>354</x:v>
      </x:c>
      <x:c r="K57" s="7" t="s">
        <x:v>354</x:v>
      </x:c>
      <x:c r="L57" s="7" t="n">
        <x:v>0.65</x:v>
      </x:c>
      <x:c r="M57" s="7" t="n">
        <x:v>0</x:v>
      </x:c>
      <x:c r="N57" s="7" t="n">
        <x:v>18000</x:v>
      </x:c>
      <x:c r="O57" s="7" t="n">
        <x:v>0</x:v>
      </x:c>
    </x:row>
    <x:row r="58" ht="15" hidden="0">
      <x:c r="B58" s="7" t="s">
        <x:v>333</x:v>
      </x:c>
      <x:c r="G58" s="7" t="n">
        <x:v>572949955</x:v>
      </x:c>
      <x:c r="I58" s="7" t="s">
        <x:v>352</x:v>
      </x:c>
      <x:c r="J58" s="7" t="s">
        <x:v>355</x:v>
      </x:c>
      <x:c r="K58" s="7" t="s">
        <x:v>355</x:v>
      </x:c>
      <x:c r="L58" s="7" t="n">
        <x:v>0.05</x:v>
      </x:c>
      <x:c r="M58" s="7" t="n">
        <x:v>0</x:v>
      </x:c>
    </x:row>
    <x:row r="59" ht="15" hidden="0">
      <x:c r="B59" s="7" t="s">
        <x:v>394</x:v>
      </x:c>
      <x:c r="D59" s="7" t="n">
        <x:v>44</x:v>
      </x:c>
      <x:c r="E59" s="7" t="n">
        <x:v>560</x:v>
      </x:c>
      <x:c r="F59" s="7" t="n">
        <x:v>13805</x:v>
      </x:c>
      <x:c r="G59" s="7" t="n">
        <x:v>340155200</x:v>
      </x:c>
      <x:c r="I59" s="7" t="s">
        <x:v>367</x:v>
      </x:c>
      <x:c r="J59" s="7" t="s">
        <x:v>373</x:v>
      </x:c>
      <x:c r="K59" s="7" t="s">
        <x:v>373</x:v>
      </x:c>
    </x:row>
    <x:row r="60" ht="15" hidden="0">
      <x:c r="B60" s="7" t="s">
        <x:v>395</x:v>
      </x:c>
      <x:c r="D60" s="7" t="n">
        <x:v>0.75</x:v>
      </x:c>
      <x:c r="E60" s="7" t="n">
        <x:v>1</x:v>
      </x:c>
      <x:c r="F60" s="7" t="n">
        <x:v>304195915</x:v>
      </x:c>
      <x:c r="G60" s="7" t="n">
        <x:v>228146936</x:v>
      </x:c>
      <x:c r="I60" s="7" t="s">
        <x:v>392</x:v>
      </x:c>
      <x:c r="J60" s="7" t="s">
        <x:v>396</x:v>
      </x:c>
      <x:c r="K60" s="7" t="s">
        <x:v>396</x:v>
      </x:c>
    </x:row>
    <x:row r="61" ht="15" hidden="0">
      <x:c r="B61" s="7" t="s">
        <x:v>397</x:v>
      </x:c>
      <x:c r="D61" s="7" t="n">
        <x:v>1</x:v>
      </x:c>
      <x:c r="E61" s="7" t="n">
        <x:v>1</x:v>
      </x:c>
      <x:c r="F61" s="7" t="n">
        <x:v>4647819</x:v>
      </x:c>
      <x:c r="G61" s="7" t="n">
        <x:v>4647819</x:v>
      </x:c>
      <x:c r="I61" s="7" t="s">
        <x:v>392</x:v>
      </x:c>
      <x:c r="J61" s="7" t="s">
        <x:v>398</x:v>
      </x:c>
      <x:c r="K61" s="7" t="s">
        <x:v>398</x:v>
      </x:c>
    </x:row>
    <x:row r="62" ht="15" hidden="0">
      <x:c r="I62" s="7" t="s">
        <x:v>392</x:v>
      </x:c>
      <x:c r="J62" s="7" t="s">
        <x:v>398</x:v>
      </x:c>
      <x:c r="K62" s="7" t="s">
        <x:v>398</x:v>
      </x:c>
    </x:row>
    <x:row r="63" ht="15" hidden="0">
      <x:c r="B63" s="7" t="s">
        <x:v>334</x:v>
      </x:c>
      <x:c r="G63" s="7" t="n">
        <x:v>211447470</x:v>
      </x:c>
    </x:row>
    <x:row r="64" ht="15" hidden="0">
      <x:c r="B64" s="7" t="s">
        <x:v>399</x:v>
      </x:c>
      <x:c r="D64" s="7" t="n">
        <x:v>1</x:v>
      </x:c>
      <x:c r="E64" s="7" t="n">
        <x:v>17</x:v>
      </x:c>
      <x:c r="F64" s="7" t="n">
        <x:v>3500000</x:v>
      </x:c>
      <x:c r="G64" s="7" t="n">
        <x:v>58492000</x:v>
      </x:c>
      <x:c r="I64" s="7" t="s">
        <x:v>400</x:v>
      </x:c>
      <x:c r="M64" s="7" t="n">
        <x:v>42549.71</x:v>
      </x:c>
      <x:c r="O64" s="7" t="n">
        <x:v>1224367896</x:v>
      </x:c>
    </x:row>
    <x:row r="65" ht="15" hidden="0">
      <x:c r="B65" s="7" t="s">
        <x:v>401</x:v>
      </x:c>
    </x:row>
    <x:row r="66" ht="15" hidden="0">
      <x:c r="B66" s="7" t="s">
        <x:v>402</x:v>
      </x:c>
      <x:c r="D66" s="7" t="n">
        <x:v>1</x:v>
      </x:c>
      <x:c r="E66" s="7" t="n">
        <x:v>5013.6</x:v>
      </x:c>
      <x:c r="F66" s="7" t="n">
        <x:v>31000</x:v>
      </x:c>
      <x:c r="G66" s="7" t="n">
        <x:v>5180720</x:v>
      </x:c>
    </x:row>
    <x:row r="67" ht="15" hidden="0">
      <x:c r="B67" s="7" t="s">
        <x:v>403</x:v>
      </x:c>
      <x:c r="D67" s="7" t="n">
        <x:v>1</x:v>
      </x:c>
      <x:c r="E67" s="7" t="n">
        <x:v>0</x:v>
      </x:c>
      <x:c r="F67" s="7" t="n">
        <x:v>31000</x:v>
      </x:c>
      <x:c r="G67" s="7" t="n">
        <x:v>0</x:v>
      </x:c>
    </x:row>
    <x:row r="68" ht="15" hidden="0">
      <x:c r="B68" s="7" t="s">
        <x:v>404</x:v>
      </x:c>
      <x:c r="D68" s="7" t="n">
        <x:v>1</x:v>
      </x:c>
      <x:c r="E68" s="7" t="n">
        <x:v>98.25</x:v>
      </x:c>
      <x:c r="F68" s="7" t="n">
        <x:v>31000</x:v>
      </x:c>
      <x:c r="G68" s="7" t="n">
        <x:v>3045750</x:v>
      </x:c>
    </x:row>
    <x:row r="69" ht="15" hidden="0">
      <x:c r="B69" s="7" t="s">
        <x:v>405</x:v>
      </x:c>
      <x:c r="D69" s="7" t="n">
        <x:v>1</x:v>
      </x:c>
      <x:c r="E69" s="7" t="n">
        <x:v>76.56</x:v>
      </x:c>
      <x:c r="F69" s="7" t="n">
        <x:v>31000</x:v>
      </x:c>
      <x:c r="G69" s="7" t="n">
        <x:v>2373360</x:v>
      </x:c>
    </x:row>
    <x:row r="70" ht="15" hidden="0">
      <x:c r="B70" s="7" t="s">
        <x:v>406</x:v>
      </x:c>
      <x:c r="D70" s="7" t="n">
        <x:v>1</x:v>
      </x:c>
      <x:c r="E70" s="7" t="n">
        <x:v>0</x:v>
      </x:c>
      <x:c r="F70" s="7" t="n">
        <x:v>31000</x:v>
      </x:c>
      <x:c r="G70" s="7" t="n">
        <x:v>0</x:v>
      </x:c>
    </x:row>
    <x:row r="71" ht="15" hidden="0">
      <x:c r="B71" s="7" t="s">
        <x:v>402</x:v>
      </x:c>
      <x:c r="D71" s="7" t="n">
        <x:v>1</x:v>
      </x:c>
      <x:c r="E71" s="7" t="n">
        <x:v>178.56</x:v>
      </x:c>
      <x:c r="F71" s="7" t="n">
        <x:v>31000</x:v>
      </x:c>
      <x:c r="G71" s="7" t="n">
        <x:v>5535360</x:v>
      </x:c>
    </x:row>
    <x:row r="72" ht="15" hidden="0">
      <x:c r="B72" s="7" t="s">
        <x:v>407</x:v>
      </x:c>
      <x:c r="D72" s="7" t="n">
        <x:v>1</x:v>
      </x:c>
      <x:c r="G72" s="7" t="n">
        <x:v>0</x:v>
      </x:c>
    </x:row>
    <x:row r="73" ht="15" hidden="0">
      <x:c r="B73" s="7" t="s">
        <x:v>408</x:v>
      </x:c>
      <x:c r="D73" s="7" t="n">
        <x:v>1</x:v>
      </x:c>
      <x:c r="G73" s="7" t="n">
        <x:v>0</x:v>
      </x:c>
    </x:row>
    <x:row r="74" ht="15" hidden="0">
      <x:c r="B74" s="7" t="s">
        <x:v>409</x:v>
      </x:c>
      <x:c r="D74" s="7" t="n">
        <x:v>1</x:v>
      </x:c>
      <x:c r="E74" s="7" t="n">
        <x:v>1193</x:v>
      </x:c>
      <x:c r="F74" s="7" t="n">
        <x:v>16200</x:v>
      </x:c>
      <x:c r="G74" s="7" t="n">
        <x:v>19326600</x:v>
      </x:c>
    </x:row>
    <x:row r="75" ht="15" hidden="0">
      <x:c r="B75" s="7" t="s">
        <x:v>410</x:v>
      </x:c>
      <x:c r="D75" s="7" t="n">
        <x:v>1</x:v>
      </x:c>
      <x:c r="E75" s="7" t="n">
        <x:v>500</x:v>
      </x:c>
      <x:c r="F75" s="7" t="n">
        <x:v>13500</x:v>
      </x:c>
      <x:c r="G75" s="7" t="n">
        <x:v>6750000</x:v>
      </x:c>
    </x:row>
    <x:row r="76" ht="15" hidden="0">
      <x:c r="B76" s="7" t="s">
        <x:v>411</x:v>
      </x:c>
      <x:c r="D76" s="7" t="n">
        <x:v>1</x:v>
      </x:c>
      <x:c r="E76" s="7" t="n">
        <x:v>600</x:v>
      </x:c>
      <x:c r="F76" s="7" t="n">
        <x:v>13500</x:v>
      </x:c>
      <x:c r="G76" s="7" t="n">
        <x:v>8100000</x:v>
      </x:c>
    </x:row>
    <x:row r="77" ht="15" hidden="0">
      <x:c r="B77" s="7" t="s">
        <x:v>412</x:v>
      </x:c>
      <x:c r="D77" s="7" t="n">
        <x:v>1</x:v>
      </x:c>
      <x:c r="E77" s="7" t="n">
        <x:v>851</x:v>
      </x:c>
      <x:c r="F77" s="7" t="n">
        <x:v>13500</x:v>
      </x:c>
      <x:c r="G77" s="7" t="n">
        <x:v>11488500</x:v>
      </x:c>
    </x:row>
    <x:row r="78" ht="15" hidden="0">
      <x:c r="B78" s="7" t="s">
        <x:v>413</x:v>
      </x:c>
      <x:c r="D78" s="7" t="n">
        <x:v>1</x:v>
      </x:c>
      <x:c r="E78" s="7" t="n">
        <x:v>560</x:v>
      </x:c>
      <x:c r="F78" s="7" t="n">
        <x:v>13500</x:v>
      </x:c>
      <x:c r="G78" s="7" t="n">
        <x:v>7560000</x:v>
      </x:c>
    </x:row>
    <x:row r="79" ht="15" hidden="0">
      <x:c r="B79" s="7" t="s">
        <x:v>414</x:v>
      </x:c>
      <x:c r="D79" s="7" t="n">
        <x:v>1</x:v>
      </x:c>
      <x:c r="E79" s="7" t="n">
        <x:v>500</x:v>
      </x:c>
      <x:c r="F79" s="7" t="n">
        <x:v>24600</x:v>
      </x:c>
      <x:c r="G79" s="7" t="n">
        <x:v>12300000</x:v>
      </x:c>
    </x:row>
    <x:row r="80" ht="15" hidden="0">
      <x:c r="B80" s="7" t="s">
        <x:v>415</x:v>
      </x:c>
      <x:c r="D80" s="7" t="n">
        <x:v>1</x:v>
      </x:c>
      <x:c r="E80" s="7" t="n">
        <x:v>196</x:v>
      </x:c>
      <x:c r="F80" s="7" t="n">
        <x:v>13500</x:v>
      </x:c>
      <x:c r="G80" s="7" t="n">
        <x:v>2646000</x:v>
      </x:c>
    </x:row>
    <x:row r="81" ht="15" hidden="0">
      <x:c r="B81" s="7" t="s">
        <x:v>416</x:v>
      </x:c>
      <x:c r="D81" s="7" t="n">
        <x:v>1</x:v>
      </x:c>
      <x:c r="G81" s="7" t="n">
        <x:v>0</x:v>
      </x:c>
    </x:row>
    <x:row r="82" ht="15" hidden="0">
      <x:c r="B82" s="7" t="s">
        <x:v>417</x:v>
      </x:c>
      <x:c r="D82" s="7" t="n">
        <x:v>1</x:v>
      </x:c>
      <x:c r="G82" s="7" t="n">
        <x:v>0</x:v>
      </x:c>
    </x:row>
    <x:row r="83" ht="15" hidden="0">
      <x:c r="B83" s="7" t="s">
        <x:v>418</x:v>
      </x:c>
      <x:c r="D83" s="7" t="n">
        <x:v>1</x:v>
      </x:c>
      <x:c r="F83" s="7" t="n">
        <x:v>600</x:v>
      </x:c>
      <x:c r="G83" s="7" t="n">
        <x:v>0</x:v>
      </x:c>
    </x:row>
    <x:row r="84" ht="15" hidden="0">
      <x:c r="B84" s="7" t="s">
        <x:v>419</x:v>
      </x:c>
      <x:c r="D84" s="7" t="n">
        <x:v>1</x:v>
      </x:c>
      <x:c r="E84" s="7" t="n">
        <x:v>19000</x:v>
      </x:c>
      <x:c r="F84" s="7" t="n">
        <x:v>412</x:v>
      </x:c>
      <x:c r="G84" s="7" t="n">
        <x:v>7828000</x:v>
      </x:c>
    </x:row>
    <x:row r="85" ht="15" hidden="0">
      <x:c r="B85" s="7" t="s">
        <x:v>420</x:v>
      </x:c>
      <x:c r="D85" s="7" t="n">
        <x:v>1</x:v>
      </x:c>
      <x:c r="E85" s="7" t="n">
        <x:v>16200</x:v>
      </x:c>
      <x:c r="F85" s="7" t="n">
        <x:v>430</x:v>
      </x:c>
      <x:c r="G85" s="7" t="n">
        <x:v>6966000</x:v>
      </x:c>
    </x:row>
    <x:row r="86" ht="15" hidden="0">
      <x:c r="B86" s="7" t="s">
        <x:v>421</x:v>
      </x:c>
      <x:c r="D86" s="7" t="n">
        <x:v>1</x:v>
      </x:c>
      <x:c r="E86" s="7" t="n">
        <x:v>17020</x:v>
      </x:c>
      <x:c r="F86" s="7" t="n">
        <x:v>520</x:v>
      </x:c>
      <x:c r="G86" s="7" t="n">
        <x:v>8850400</x:v>
      </x:c>
    </x:row>
    <x:row r="87" ht="15" hidden="0">
      <x:c r="B87" s="7" t="s">
        <x:v>422</x:v>
      </x:c>
      <x:c r="D87" s="7" t="n">
        <x:v>1</x:v>
      </x:c>
      <x:c r="E87" s="7" t="n">
        <x:v>9520</x:v>
      </x:c>
      <x:c r="F87" s="7" t="n">
        <x:v>520</x:v>
      </x:c>
      <x:c r="G87" s="7" t="n">
        <x:v>4950400</x:v>
      </x:c>
    </x:row>
    <x:row r="88" ht="15" hidden="0">
      <x:c r="B88" s="7" t="s">
        <x:v>423</x:v>
      </x:c>
      <x:c r="D88" s="7" t="n">
        <x:v>1</x:v>
      </x:c>
      <x:c r="E88" s="7" t="n">
        <x:v>14316</x:v>
      </x:c>
      <x:c r="F88" s="7" t="n">
        <x:v>520</x:v>
      </x:c>
      <x:c r="G88" s="7" t="n">
        <x:v>7444320</x:v>
      </x:c>
    </x:row>
    <x:row r="89" ht="15" hidden="0">
      <x:c r="B89" s="7" t="s">
        <x:v>424</x:v>
      </x:c>
      <x:c r="D89" s="7" t="n">
        <x:v>1</x:v>
      </x:c>
      <x:c r="E89" s="7" t="n">
        <x:v>5200</x:v>
      </x:c>
      <x:c r="F89" s="7" t="n">
        <x:v>1210</x:v>
      </x:c>
      <x:c r="G89" s="7" t="n">
        <x:v>6292000</x:v>
      </x:c>
    </x:row>
    <x:row r="90" ht="15" hidden="0">
      <x:c r="B90" s="7" t="s">
        <x:v>425</x:v>
      </x:c>
      <x:c r="D90" s="7" t="n">
        <x:v>1</x:v>
      </x:c>
      <x:c r="E90" s="7" t="n">
        <x:v>1960</x:v>
      </x:c>
      <x:c r="F90" s="7" t="n">
        <x:v>1100</x:v>
      </x:c>
      <x:c r="G90" s="7" t="n">
        <x:v>2156000</x:v>
      </x:c>
    </x:row>
    <x:row r="91" ht="15" hidden="0">
      <x:c r="B91" s="7" t="s">
        <x:v>426</x:v>
      </x:c>
      <x:c r="D91" s="7" t="n">
        <x:v>1</x:v>
      </x:c>
      <x:c r="E91" s="7" t="n">
        <x:v>21</x:v>
      </x:c>
      <x:c r="F91" s="7" t="n">
        <x:v>295</x:v>
      </x:c>
      <x:c r="G91" s="7" t="n">
        <x:v>6065</x:v>
      </x:c>
    </x:row>
    <x:row r="92" ht="15" hidden="0">
      <x:c r="B92" s="7" t="s">
        <x:v>427</x:v>
      </x:c>
      <x:c r="D92" s="7" t="n">
        <x:v>1</x:v>
      </x:c>
      <x:c r="F92" s="7" t="n">
        <x:v>295</x:v>
      </x:c>
      <x:c r="G92" s="7" t="n">
        <x:v>0</x:v>
      </x:c>
    </x:row>
    <x:row r="93" ht="15" hidden="0">
      <x:c r="B93" s="7" t="s">
        <x:v>428</x:v>
      </x:c>
      <x:c r="D93" s="7" t="n">
        <x:v>1</x:v>
      </x:c>
      <x:c r="E93" s="7" t="n">
        <x:v>20</x:v>
      </x:c>
      <x:c r="F93" s="7" t="n">
        <x:v>8000</x:v>
      </x:c>
      <x:c r="G93" s="7" t="n">
        <x:v>160000</x:v>
      </x:c>
    </x:row>
    <x:row r="94" ht="15" hidden="0">
      <x:c r="B94" s="7" t="s">
        <x:v>429</x:v>
      </x:c>
      <x:c r="D94" s="7" t="n">
        <x:v>1</x:v>
      </x:c>
      <x:c r="E94" s="7" t="n">
        <x:v>30</x:v>
      </x:c>
      <x:c r="F94" s="7" t="n">
        <x:v>3000</x:v>
      </x:c>
      <x:c r="G94" s="7" t="n">
        <x:v>90000</x:v>
      </x:c>
    </x:row>
    <x:row r="95" ht="15" hidden="0">
      <x:c r="B95" s="7" t="s">
        <x:v>430</x:v>
      </x:c>
      <x:c r="D95" s="7" t="n">
        <x:v>1</x:v>
      </x:c>
      <x:c r="E95" s="7" t="n">
        <x:v>15</x:v>
      </x:c>
      <x:c r="F95" s="7" t="n">
        <x:v>25000</x:v>
      </x:c>
      <x:c r="G95" s="7" t="n">
        <x:v>375000</x:v>
      </x:c>
    </x:row>
    <x:row r="96" ht="15" hidden="0">
      <x:c r="B96" s="7" t="s">
        <x:v>431</x:v>
      </x:c>
      <x:c r="D96" s="7" t="n">
        <x:v>1</x:v>
      </x:c>
      <x:c r="E96" s="7" t="n">
        <x:v>15</x:v>
      </x:c>
      <x:c r="F96" s="7" t="n">
        <x:v>27500</x:v>
      </x:c>
      <x:c r="G96" s="7" t="n">
        <x:v>412500</x:v>
      </x:c>
    </x:row>
    <x:row r="97" ht="15" hidden="0">
      <x:c r="B97" s="7" t="s">
        <x:v>432</x:v>
      </x:c>
      <x:c r="D97" s="7" t="n">
        <x:v>1</x:v>
      </x:c>
      <x:c r="F97" s="7" t="n">
        <x:v>110</x:v>
      </x:c>
      <x:c r="G97" s="7" t="n">
        <x:v>0</x:v>
      </x:c>
    </x:row>
    <x:row r="98" ht="15" hidden="0">
      <x:c r="B98" s="7" t="s">
        <x:v>433</x:v>
      </x:c>
      <x:c r="D98" s="7" t="n">
        <x:v>1</x:v>
      </x:c>
      <x:c r="E98" s="7" t="n">
        <x:v>15</x:v>
      </x:c>
      <x:c r="F98" s="7" t="n">
        <x:v>233</x:v>
      </x:c>
      <x:c r="G98" s="7" t="n">
        <x:v>3495</x:v>
      </x:c>
    </x:row>
    <x:row r="99" ht="15" hidden="0">
      <x:c r="B99" s="7" t="s">
        <x:v>434</x:v>
      </x:c>
      <x:c r="D99" s="7" t="n">
        <x:v>0.55</x:v>
      </x:c>
      <x:c r="E99" s="7" t="n">
        <x:v>20</x:v>
      </x:c>
      <x:c r="F99" s="7" t="n">
        <x:v>150000</x:v>
      </x:c>
      <x:c r="G99" s="7" t="n">
        <x:v>1650000</x:v>
      </x:c>
    </x:row>
    <x:row r="100" ht="15" hidden="0">
      <x:c r="B100" s="7" t="s">
        <x:v>435</x:v>
      </x:c>
      <x:c r="D100" s="7" t="n">
        <x:v>1</x:v>
      </x:c>
      <x:c r="E100" s="7" t="n">
        <x:v>50</x:v>
      </x:c>
      <x:c r="F100" s="7" t="n">
        <x:v>9000</x:v>
      </x:c>
      <x:c r="G100" s="7" t="n">
        <x:v>450000</x:v>
      </x:c>
    </x:row>
    <x:row r="101" ht="15" hidden="0">
      <x:c r="B101" s="7" t="s">
        <x:v>436</x:v>
      </x:c>
      <x:c r="D101" s="7" t="n">
        <x:v>1</x:v>
      </x:c>
      <x:c r="E101" s="7" t="n">
        <x:v>15</x:v>
      </x:c>
      <x:c r="F101" s="7" t="n">
        <x:v>194700</x:v>
      </x:c>
      <x:c r="G101" s="7" t="n">
        <x:v>2920500</x:v>
      </x:c>
    </x:row>
    <x:row r="102" ht="15" hidden="0">
      <x:c r="B102" s="7" t="s">
        <x:v>437</x:v>
      </x:c>
      <x:c r="D102" s="7" t="n">
        <x:v>1</x:v>
      </x:c>
      <x:c r="E102" s="7" t="n">
        <x:v>15</x:v>
      </x:c>
      <x:c r="F102" s="7" t="n">
        <x:v>165500</x:v>
      </x:c>
      <x:c r="G102" s="7" t="n">
        <x:v>2482500</x:v>
      </x:c>
    </x:row>
    <x:row r="103" ht="15" hidden="0">
      <x:c r="B103" s="7" t="s">
        <x:v>438</x:v>
      </x:c>
      <x:c r="D103" s="7" t="n">
        <x:v>1</x:v>
      </x:c>
      <x:c r="F103" s="7" t="n">
        <x:v>2000</x:v>
      </x:c>
      <x:c r="G103" s="7" t="n">
        <x:v>0</x:v>
      </x:c>
    </x:row>
    <x:row r="104" ht="15" hidden="0">
      <x:c r="B104" s="7" t="s">
        <x:v>439</x:v>
      </x:c>
      <x:c r="D104" s="7" t="n">
        <x:v>1</x:v>
      </x:c>
      <x:c r="F104" s="7" t="n">
        <x:v>25000</x:v>
      </x:c>
      <x:c r="G104" s="7" t="n">
        <x:v>0</x:v>
      </x:c>
    </x:row>
    <x:row r="105" ht="15" hidden="0">
      <x:c r="B105" s="7" t="s">
        <x:v>440</x:v>
      </x:c>
      <x:c r="D105" s="7" t="n">
        <x:v>1</x:v>
      </x:c>
      <x:c r="F105" s="7" t="n">
        <x:v>25000</x:v>
      </x:c>
      <x:c r="G105" s="7" t="n">
        <x:v>0</x:v>
      </x:c>
    </x:row>
    <x:row r="106" ht="15" hidden="0">
      <x:c r="B106" s="7" t="s">
        <x:v>441</x:v>
      </x:c>
      <x:c r="D106" s="7" t="n">
        <x:v>1</x:v>
      </x:c>
      <x:c r="E106" s="7" t="n">
        <x:v>10</x:v>
      </x:c>
      <x:c r="F106" s="7" t="n">
        <x:v>30000</x:v>
      </x:c>
      <x:c r="G106" s="7" t="n">
        <x:v>300000</x:v>
      </x:c>
    </x:row>
    <x:row r="107" ht="15" hidden="0">
      <x:c r="B107" s="7" t="s">
        <x:v>442</x:v>
      </x:c>
      <x:c r="D107" s="7" t="n">
        <x:v>1</x:v>
      </x:c>
      <x:c r="E107" s="7" t="n">
        <x:v>2</x:v>
      </x:c>
      <x:c r="F107" s="7" t="n">
        <x:v>58000</x:v>
      </x:c>
      <x:c r="G107" s="7" t="n">
        <x:v>116000</x:v>
      </x:c>
    </x:row>
    <x:row r="108" ht="15" hidden="0">
      <x:c r="B108" s="7" t="s">
        <x:v>443</x:v>
      </x:c>
      <x:c r="D108" s="7" t="n">
        <x:v>1</x:v>
      </x:c>
      <x:c r="E108" s="7" t="n">
        <x:v>25</x:v>
      </x:c>
      <x:c r="F108" s="7" t="n">
        <x:v>11200</x:v>
      </x:c>
      <x:c r="G108" s="7" t="n">
        <x:v>280000</x:v>
      </x:c>
    </x:row>
    <x:row r="109" ht="15" hidden="0">
      <x:c r="B109" s="7" t="s">
        <x:v>444</x:v>
      </x:c>
      <x:c r="D109" s="7" t="n">
        <x:v>1</x:v>
      </x:c>
      <x:c r="E109" s="7" t="n">
        <x:v>1</x:v>
      </x:c>
      <x:c r="F109" s="7" t="n">
        <x:v>14916000</x:v>
      </x:c>
      <x:c r="G109" s="7" t="n">
        <x:v>14916000</x:v>
      </x:c>
    </x:row>
    <x:row r="110" ht="15" hidden="0">
      <x:c r="B110" s="7" t="s">
        <x:v>445</x:v>
      </x:c>
      <x:c r="C110" s="7" t="s">
        <x:v>446</x:v>
      </x:c>
      <x:c r="G110" s="7" t="n">
        <x:v>165215222</x:v>
      </x:c>
      <x:c r="Q110" s="7" t="n">
        <x:v>165050222</x:v>
      </x:c>
    </x:row>
    <x:row r="111" ht="15" hidden="0">
      <x:c r="B111" s="7" t="s">
        <x:v>447</x:v>
      </x:c>
      <x:c r="D111" s="7" t="n">
        <x:v>1</x:v>
      </x:c>
      <x:c r="E111" s="7" t="n">
        <x:v>1</x:v>
      </x:c>
      <x:c r="F111" s="7" t="n">
        <x:v>0</x:v>
      </x:c>
      <x:c r="G111" s="7" t="n">
        <x:v>0</x:v>
      </x:c>
      <x:c r="Q111" s="7" t="n">
        <x:v>165000</x:v>
      </x:c>
    </x:row>
    <x:row r="112" ht="15" hidden="0">
      <x:c r="B112" s="7" t="s">
        <x:v>448</x:v>
      </x:c>
      <x:c r="D112" s="7" t="n">
        <x:v>0</x:v>
      </x:c>
      <x:c r="E112" s="7" t="n">
        <x:v>1</x:v>
      </x:c>
      <x:c r="F112" s="7" t="n">
        <x:v>0</x:v>
      </x:c>
      <x:c r="G112" s="7" t="n">
        <x:v>0</x:v>
      </x:c>
    </x:row>
    <x:row r="113" ht="15" hidden="0">
      <x:c r="B113" s="7" t="s">
        <x:v>449</x:v>
      </x:c>
      <x:c r="D113" s="7" t="n">
        <x:v>0</x:v>
      </x:c>
      <x:c r="E113" s="7" t="n">
        <x:v>1</x:v>
      </x:c>
      <x:c r="F113" s="7" t="n">
        <x:v>0</x:v>
      </x:c>
      <x:c r="G113" s="7" t="n">
        <x:v>0</x:v>
      </x:c>
    </x:row>
    <x:row r="114" ht="15" hidden="0">
      <x:c r="B114" s="7" t="s">
        <x:v>450</x:v>
      </x:c>
      <x:c r="D114" s="7" t="n">
        <x:v>1</x:v>
      </x:c>
      <x:c r="E114" s="7" t="n">
        <x:v>1</x:v>
      </x:c>
      <x:c r="F114" s="7" t="n">
        <x:v>0</x:v>
      </x:c>
      <x:c r="G114" s="7" t="n">
        <x:v>0</x:v>
      </x:c>
    </x:row>
    <x:row r="115" ht="15" hidden="0">
      <x:c r="B115" s="7" t="s">
        <x:v>451</x:v>
      </x:c>
      <x:c r="D115" s="7" t="n">
        <x:v>1</x:v>
      </x:c>
      <x:c r="E115" s="7" t="n">
        <x:v>1</x:v>
      </x:c>
      <x:c r="F115" s="7" t="n">
        <x:v>156110422</x:v>
      </x:c>
      <x:c r="G115" s="7" t="n">
        <x:v>156110422</x:v>
      </x:c>
    </x:row>
    <x:row r="116" ht="15" hidden="0">
      <x:c r="B116" s="7" t="s">
        <x:v>452</x:v>
      </x:c>
      <x:c r="D116" s="7" t="n">
        <x:v>1</x:v>
      </x:c>
      <x:c r="E116" s="7" t="n">
        <x:v>1</x:v>
      </x:c>
      <x:c r="F116" s="7" t="n">
        <x:v>7940800</x:v>
      </x:c>
      <x:c r="G116" s="7" t="n">
        <x:v>7940800</x:v>
      </x:c>
    </x:row>
    <x:row r="117" ht="15" hidden="0">
      <x:c r="B117" s="7" t="s">
        <x:v>453</x:v>
      </x:c>
      <x:c r="D117" s="7" t="n">
        <x:v>1</x:v>
      </x:c>
      <x:c r="E117" s="7" t="n">
        <x:v>1</x:v>
      </x:c>
      <x:c r="F117" s="7" t="n">
        <x:v>1164000</x:v>
      </x:c>
      <x:c r="G117" s="7" t="n">
        <x:v>1164000</x:v>
      </x:c>
    </x:row>
    <x:row r="118" ht="15" hidden="0">
      <x:c r="B118" s="7" t="s">
        <x:v>454</x:v>
      </x:c>
      <x:c r="G118" s="7" t="n">
        <x:v>2920251230</x:v>
      </x:c>
    </x:row>
    <x:row r="119" ht="15" hidden="0">
      <x:c r="B119" s="7" t="s">
        <x:v>455</x:v>
      </x:c>
      <x:c r="G119" s="7" t="n">
        <x:v>293469606</x:v>
      </x:c>
    </x:row>
    <x:row r="120" ht="15" hidden="0">
      <x:c r="B120" s="7" t="s">
        <x:v>456</x:v>
      </x:c>
      <x:c r="G120" s="7" t="n">
        <x:v>0</x:v>
      </x:c>
    </x:row>
  </x:sheetData>
  <x:pageMargins left="0.7" right="0.7" top="0.75" bottom="0.75" header="0.3" footer="0.3"/>
</x:worksheet>
</file>

<file path=xl/worksheets/sheet5.xml><?xml version="1.0" encoding="utf-8"?>
<x:worksheet xmlns:x="http://schemas.openxmlformats.org/spreadsheetml/2006/main">
  <x:sheetPr>
    <x:tabColor rgb="FF808080"/>
  </x:sheetPr>
  <x:sheetViews>
    <x:sheetView showGridLines="0" workbookViewId="0"/>
  </x:sheetViews>
  <x:sheetFormatPr defaultColWidth="8.6796875" defaultRowHeight="15"/>
  <x:sheetData>
    <x:row r="1" ht="15" hidden="0">
      <x:c r="A1" s="7" t="n">
        <x:v>24</x:v>
      </x:c>
      <x:c r="B1" s="7" t="n">
        <x:v>39</x:v>
      </x:c>
      <x:c r="C1" s="7" t="n">
        <x:v>66</x:v>
      </x:c>
      <x:c r="D1" s="7" t="n">
        <x:v>35337</x:v>
      </x:c>
      <x:c r="E1" s="7" t="n">
        <x:v>854</x:v>
      </x:c>
      <x:c r="F1" s="7" t="n">
        <x:v>20872.65</x:v>
      </x:c>
      <x:c r="G1" s="7" t="n">
        <x:v>0.590674080991595</x:v>
      </x:c>
    </x:row>
    <x:row r="2" ht="15" hidden="0">
      <x:c r="A2" s="7" t="s">
        <x:v>457</x:v>
      </x:c>
      <x:c r="B2" s="7" t="s">
        <x:v>458</x:v>
      </x:c>
      <x:c r="C2" s="7" t="s">
        <x:v>459</x:v>
      </x:c>
      <x:c r="D2" s="7" t="s">
        <x:v>460</x:v>
      </x:c>
      <x:c r="E2" s="7" t="s">
        <x:v>461</x:v>
      </x:c>
      <x:c r="F2" s="7" t="s">
        <x:v>462</x:v>
      </x:c>
      <x:c r="G2" s="7" t="s">
        <x:v>463</x:v>
      </x:c>
    </x:row>
    <x:row r="3" ht="15" hidden="0">
      <x:c r="A3" s="8" t="n">
        <x:v>45654</x:v>
      </x:c>
      <x:c r="B3" s="7" t="s">
        <x:v>123</x:v>
      </x:c>
      <x:c r="C3" s="7" t="s">
        <x:v>232</x:v>
      </x:c>
      <x:c r="D3" s="7" t="n">
        <x:v>253</x:v>
      </x:c>
      <x:c r="E3" s="7" t="n">
        <x:v>7</x:v>
      </x:c>
      <x:c r="F3" s="7" t="n">
        <x:v>149.7</x:v>
      </x:c>
      <x:c r="G3" s="7" t="n">
        <x:v>0.591699604743083</x:v>
      </x:c>
    </x:row>
    <x:row r="4" ht="15" hidden="0">
      <x:c r="A4" s="8" t="n">
        <x:v>45654</x:v>
      </x:c>
      <x:c r="B4" s="7" t="s">
        <x:v>233</x:v>
      </x:c>
      <x:c r="C4" s="7" t="s">
        <x:v>235</x:v>
      </x:c>
      <x:c r="D4" s="7" t="n">
        <x:v>247</x:v>
      </x:c>
      <x:c r="E4" s="7" t="n">
        <x:v>6</x:v>
      </x:c>
      <x:c r="F4" s="7" t="n">
        <x:v>147.4</x:v>
      </x:c>
      <x:c r="G4" s="7" t="n">
        <x:v>0.596761133603239</x:v>
      </x:c>
    </x:row>
    <x:row r="5" ht="15" hidden="0">
      <x:c r="A5" s="8" t="n">
        <x:v>45654</x:v>
      </x:c>
      <x:c r="B5" s="7" t="s">
        <x:v>147</x:v>
      </x:c>
      <x:c r="C5" s="7" t="s">
        <x:v>236</x:v>
      </x:c>
      <x:c r="D5" s="7" t="n">
        <x:v>99</x:v>
      </x:c>
      <x:c r="E5" s="7" t="n">
        <x:v>3</x:v>
      </x:c>
      <x:c r="F5" s="7" t="n">
        <x:v>58.6</x:v>
      </x:c>
      <x:c r="G5" s="7" t="n">
        <x:v>0.591919191919192</x:v>
      </x:c>
    </x:row>
    <x:row r="6" ht="15" hidden="0">
      <x:c r="A6" s="8" t="n">
        <x:v>45656</x:v>
      </x:c>
      <x:c r="B6" s="7" t="s">
        <x:v>237</x:v>
      </x:c>
      <x:c r="C6" s="7" t="s">
        <x:v>239</x:v>
      </x:c>
      <x:c r="D6" s="7" t="n">
        <x:v>404</x:v>
      </x:c>
      <x:c r="E6" s="7" t="n">
        <x:v>9</x:v>
      </x:c>
      <x:c r="F6" s="7" t="n">
        <x:v>235.55</x:v>
      </x:c>
      <x:c r="G6" s="7" t="n">
        <x:v>0.583044554455446</x:v>
      </x:c>
    </x:row>
    <x:row r="7" ht="15" hidden="0">
      <x:c r="A7" s="8" t="n">
        <x:v>45656</x:v>
      </x:c>
      <x:c r="B7" s="7" t="s">
        <x:v>240</x:v>
      </x:c>
      <x:c r="C7" s="7" t="s">
        <x:v>242</x:v>
      </x:c>
      <x:c r="D7" s="7" t="n">
        <x:v>547</x:v>
      </x:c>
      <x:c r="E7" s="7" t="n">
        <x:v>12</x:v>
      </x:c>
      <x:c r="F7" s="7" t="n">
        <x:v>320.4</x:v>
      </x:c>
      <x:c r="G7" s="7" t="n">
        <x:v>0.585740402193784</x:v>
      </x:c>
    </x:row>
    <x:row r="8" ht="15" hidden="0">
      <x:c r="A8" s="8" t="n">
        <x:v>45656</x:v>
      </x:c>
      <x:c r="B8" s="7" t="s">
        <x:v>141</x:v>
      </x:c>
      <x:c r="C8" s="7" t="s">
        <x:v>243</x:v>
      </x:c>
      <x:c r="D8" s="7" t="n">
        <x:v>246</x:v>
      </x:c>
      <x:c r="E8" s="7" t="n">
        <x:v>7</x:v>
      </x:c>
      <x:c r="F8" s="7" t="n">
        <x:v>142.2</x:v>
      </x:c>
      <x:c r="G8" s="7" t="n">
        <x:v>0.578048780487805</x:v>
      </x:c>
    </x:row>
    <x:row r="9" ht="15" hidden="0">
      <x:c r="A9" s="8" t="n">
        <x:v>45656</x:v>
      </x:c>
      <x:c r="B9" s="7" t="s">
        <x:v>138</x:v>
      </x:c>
      <x:c r="C9" s="7" t="s">
        <x:v>244</x:v>
      </x:c>
      <x:c r="D9" s="7" t="n">
        <x:v>461</x:v>
      </x:c>
      <x:c r="E9" s="7" t="n">
        <x:v>11</x:v>
      </x:c>
      <x:c r="F9" s="7" t="n">
        <x:v>272.3</x:v>
      </x:c>
      <x:c r="G9" s="7" t="n">
        <x:v>0.590672451193059</x:v>
      </x:c>
    </x:row>
    <x:row r="10" ht="15" hidden="0">
      <x:c r="A10" s="8" t="n">
        <x:v>45656</x:v>
      </x:c>
      <x:c r="B10" s="7" t="s">
        <x:v>245</x:v>
      </x:c>
      <x:c r="C10" s="7" t="s">
        <x:v>247</x:v>
      </x:c>
      <x:c r="D10" s="7" t="n">
        <x:v>827</x:v>
      </x:c>
      <x:c r="E10" s="7" t="n">
        <x:v>22</x:v>
      </x:c>
      <x:c r="F10" s="7" t="n">
        <x:v>482.55</x:v>
      </x:c>
      <x:c r="G10" s="7" t="n">
        <x:v>0.583494558645707</x:v>
      </x:c>
    </x:row>
    <x:row r="11" ht="15" hidden="0">
      <x:c r="A11" s="8" t="n">
        <x:v>45656</x:v>
      </x:c>
      <x:c r="B11" s="7" t="s">
        <x:v>248</x:v>
      </x:c>
      <x:c r="C11" s="7" t="s">
        <x:v>250</x:v>
      </x:c>
      <x:c r="D11" s="7" t="n">
        <x:v>478</x:v>
      </x:c>
      <x:c r="E11" s="7" t="n">
        <x:v>10</x:v>
      </x:c>
      <x:c r="F11" s="7" t="n">
        <x:v>280.15</x:v>
      </x:c>
      <x:c r="G11" s="7" t="n">
        <x:v>0.586087866108787</x:v>
      </x:c>
    </x:row>
    <x:row r="12" ht="15" hidden="0">
      <x:c r="A12" s="8" t="n">
        <x:v>45656</x:v>
      </x:c>
      <x:c r="B12" s="7" t="s">
        <x:v>251</x:v>
      </x:c>
      <x:c r="C12" s="7" t="s">
        <x:v>253</x:v>
      </x:c>
      <x:c r="D12" s="7" t="n">
        <x:v>515</x:v>
      </x:c>
      <x:c r="E12" s="7" t="n">
        <x:v>11</x:v>
      </x:c>
      <x:c r="F12" s="7" t="n">
        <x:v>304.39</x:v>
      </x:c>
      <x:c r="G12" s="7" t="n">
        <x:v>0.59104854368932</x:v>
      </x:c>
    </x:row>
    <x:row r="13" ht="15" hidden="0">
      <x:c r="A13" s="8" t="n">
        <x:v>45656</x:v>
      </x:c>
      <x:c r="B13" s="7" t="s">
        <x:v>185</x:v>
      </x:c>
      <x:c r="C13" s="7" t="s">
        <x:v>254</x:v>
      </x:c>
      <x:c r="D13" s="7" t="n">
        <x:v>479</x:v>
      </x:c>
      <x:c r="E13" s="7" t="n">
        <x:v>11</x:v>
      </x:c>
      <x:c r="F13" s="7" t="n">
        <x:v>279.13</x:v>
      </x:c>
      <x:c r="G13" s="7" t="n">
        <x:v>0.582734864300626</x:v>
      </x:c>
    </x:row>
    <x:row r="14" ht="15" hidden="0">
      <x:c r="A14" s="8" t="n">
        <x:v>45656</x:v>
      </x:c>
      <x:c r="B14" s="7" t="s">
        <x:v>126</x:v>
      </x:c>
      <x:c r="C14" s="7" t="s">
        <x:v>255</x:v>
      </x:c>
      <x:c r="D14" s="7" t="n">
        <x:v>837</x:v>
      </x:c>
      <x:c r="E14" s="7" t="n">
        <x:v>18</x:v>
      </x:c>
      <x:c r="F14" s="7" t="n">
        <x:v>492.08</x:v>
      </x:c>
      <x:c r="G14" s="7" t="n">
        <x:v>0.587909199522103</x:v>
      </x:c>
    </x:row>
    <x:row r="15" ht="15" hidden="0">
      <x:c r="A15" s="8" t="n">
        <x:v>45657</x:v>
      </x:c>
      <x:c r="B15" s="7" t="s">
        <x:v>110</x:v>
      </x:c>
      <x:c r="C15" s="7" t="s">
        <x:v>256</x:v>
      </x:c>
      <x:c r="D15" s="7" t="n">
        <x:v>493</x:v>
      </x:c>
      <x:c r="E15" s="7" t="n">
        <x:v>12</x:v>
      </x:c>
      <x:c r="F15" s="7" t="n">
        <x:v>290</x:v>
      </x:c>
      <x:c r="G15" s="7" t="n">
        <x:v>0.588235294117647</x:v>
      </x:c>
    </x:row>
    <x:row r="16" ht="15" hidden="0">
      <x:c r="A16" s="8" t="n">
        <x:v>45657</x:v>
      </x:c>
      <x:c r="B16" s="7" t="s">
        <x:v>163</x:v>
      </x:c>
      <x:c r="C16" s="7" t="s">
        <x:v>257</x:v>
      </x:c>
      <x:c r="D16" s="7" t="n">
        <x:v>1762</x:v>
      </x:c>
      <x:c r="E16" s="7" t="n">
        <x:v>33</x:v>
      </x:c>
      <x:c r="F16" s="7" t="n">
        <x:v>1042.21</x:v>
      </x:c>
      <x:c r="G16" s="7" t="n">
        <x:v>0.591492622020431</x:v>
      </x:c>
    </x:row>
    <x:row r="17" ht="15" hidden="0">
      <x:c r="A17" s="8" t="n">
        <x:v>45657</x:v>
      </x:c>
      <x:c r="B17" s="7" t="s">
        <x:v>107</x:v>
      </x:c>
      <x:c r="C17" s="7" t="s">
        <x:v>258</x:v>
      </x:c>
      <x:c r="D17" s="7" t="n">
        <x:v>351</x:v>
      </x:c>
      <x:c r="E17" s="7" t="n">
        <x:v>8</x:v>
      </x:c>
      <x:c r="F17" s="7" t="n">
        <x:v>210.21</x:v>
      </x:c>
      <x:c r="G17" s="7" t="n">
        <x:v>0.598888888888889</x:v>
      </x:c>
    </x:row>
    <x:row r="18" ht="15" hidden="0">
      <x:c r="A18" s="8" t="n">
        <x:v>45659</x:v>
      </x:c>
      <x:c r="B18" s="7" t="s">
        <x:v>194</x:v>
      </x:c>
      <x:c r="C18" s="7" t="s">
        <x:v>259</x:v>
      </x:c>
      <x:c r="D18" s="7" t="n">
        <x:v>846</x:v>
      </x:c>
      <x:c r="E18" s="7" t="n">
        <x:v>20</x:v>
      </x:c>
      <x:c r="F18" s="7" t="n">
        <x:v>493.31</x:v>
      </x:c>
      <x:c r="G18" s="7" t="n">
        <x:v>0.583108747044917</x:v>
      </x:c>
    </x:row>
    <x:row r="19" ht="15" hidden="0">
      <x:c r="A19" s="8" t="n">
        <x:v>45659</x:v>
      </x:c>
      <x:c r="B19" s="7" t="s">
        <x:v>157</x:v>
      </x:c>
      <x:c r="C19" s="7" t="s">
        <x:v>260</x:v>
      </x:c>
      <x:c r="D19" s="7" t="n">
        <x:v>587</x:v>
      </x:c>
      <x:c r="E19" s="7" t="n">
        <x:v>12</x:v>
      </x:c>
      <x:c r="F19" s="7" t="n">
        <x:v>335.4</x:v>
      </x:c>
      <x:c r="G19" s="7" t="n">
        <x:v>0.571379897785349</x:v>
      </x:c>
    </x:row>
    <x:row r="20" ht="15" hidden="0">
      <x:c r="A20" s="8" t="n">
        <x:v>45660</x:v>
      </x:c>
      <x:c r="B20" s="7" t="s">
        <x:v>197</x:v>
      </x:c>
      <x:c r="C20" s="7" t="s">
        <x:v>261</x:v>
      </x:c>
      <x:c r="D20" s="7" t="n">
        <x:v>341</x:v>
      </x:c>
      <x:c r="E20" s="7" t="n">
        <x:v>10</x:v>
      </x:c>
      <x:c r="F20" s="7" t="n">
        <x:v>203.74</x:v>
      </x:c>
      <x:c r="G20" s="7" t="n">
        <x:v>0.597478005865103</x:v>
      </x:c>
    </x:row>
    <x:row r="21" ht="15" hidden="0">
      <x:c r="A21" s="8" t="n">
        <x:v>45660</x:v>
      </x:c>
      <x:c r="B21" s="7" t="s">
        <x:v>262</x:v>
      </x:c>
      <x:c r="C21" s="7" t="s">
        <x:v>264</x:v>
      </x:c>
      <x:c r="D21" s="7" t="n">
        <x:v>830</x:v>
      </x:c>
      <x:c r="E21" s="7" t="n">
        <x:v>24</x:v>
      </x:c>
      <x:c r="F21" s="7" t="n">
        <x:v>490.99</x:v>
      </x:c>
      <x:c r="G21" s="7" t="n">
        <x:v>0.59155421686747</x:v>
      </x:c>
    </x:row>
    <x:row r="22" ht="15" hidden="0">
      <x:c r="A22" s="8" t="n">
        <x:v>45665</x:v>
      </x:c>
      <x:c r="B22" s="7" t="s">
        <x:v>464</x:v>
      </x:c>
      <x:c r="C22" s="7" t="s">
        <x:v>265</x:v>
      </x:c>
      <x:c r="D22" s="7" t="n">
        <x:v>923</x:v>
      </x:c>
      <x:c r="E22" s="7" t="n">
        <x:v>24</x:v>
      </x:c>
      <x:c r="F22" s="7" t="n">
        <x:v>547.25</x:v>
      </x:c>
      <x:c r="G22" s="7" t="n">
        <x:v>0.592903575297942</x:v>
      </x:c>
    </x:row>
    <x:row r="23" ht="15" hidden="0">
      <x:c r="A23" s="8" t="n">
        <x:v>45666</x:v>
      </x:c>
      <x:c r="B23" s="7" t="s">
        <x:v>266</x:v>
      </x:c>
      <x:c r="C23" s="7" t="s">
        <x:v>268</x:v>
      </x:c>
      <x:c r="D23" s="7" t="n">
        <x:v>375</x:v>
      </x:c>
      <x:c r="E23" s="7" t="n">
        <x:v>9</x:v>
      </x:c>
      <x:c r="F23" s="7" t="n">
        <x:v>216.62</x:v>
      </x:c>
      <x:c r="G23" s="7" t="n">
        <x:v>0.577653333333333</x:v>
      </x:c>
    </x:row>
    <x:row r="24" ht="15" hidden="0">
      <x:c r="A24" s="8" t="n">
        <x:v>45666</x:v>
      </x:c>
      <x:c r="B24" s="7" t="s">
        <x:v>269</x:v>
      </x:c>
      <x:c r="C24" s="7" t="s">
        <x:v>271</x:v>
      </x:c>
      <x:c r="D24" s="7" t="n">
        <x:v>642</x:v>
      </x:c>
      <x:c r="E24" s="7" t="n">
        <x:v>18</x:v>
      </x:c>
      <x:c r="F24" s="7" t="n">
        <x:v>378.45</x:v>
      </x:c>
      <x:c r="G24" s="7" t="n">
        <x:v>0.589485981308411</x:v>
      </x:c>
    </x:row>
    <x:row r="25" ht="15" hidden="0">
      <x:c r="A25" s="8" t="n">
        <x:v>45666</x:v>
      </x:c>
      <x:c r="B25" s="7" t="s">
        <x:v>160</x:v>
      </x:c>
      <x:c r="C25" s="7" t="s">
        <x:v>272</x:v>
      </x:c>
      <x:c r="D25" s="7" t="n">
        <x:v>275</x:v>
      </x:c>
      <x:c r="E25" s="7" t="n">
        <x:v>6</x:v>
      </x:c>
      <x:c r="F25" s="7" t="n">
        <x:v>159.03</x:v>
      </x:c>
      <x:c r="G25" s="7" t="n">
        <x:v>0.578290909090909</x:v>
      </x:c>
    </x:row>
    <x:row r="26" ht="15" hidden="0">
      <x:c r="A26" s="8" t="n">
        <x:v>45667</x:v>
      </x:c>
      <x:c r="B26" s="7" t="s">
        <x:v>248</x:v>
      </x:c>
      <x:c r="C26" s="7" t="s">
        <x:v>273</x:v>
      </x:c>
      <x:c r="D26" s="7" t="n">
        <x:v>198</x:v>
      </x:c>
      <x:c r="E26" s="7" t="n">
        <x:v>4</x:v>
      </x:c>
      <x:c r="F26" s="7" t="n">
        <x:v>117.8</x:v>
      </x:c>
      <x:c r="G26" s="7" t="n">
        <x:v>0.594949494949495</x:v>
      </x:c>
    </x:row>
    <x:row r="27" ht="15" hidden="0">
      <x:c r="A27" s="8" t="n">
        <x:v>45667</x:v>
      </x:c>
      <x:c r="B27" s="7" t="s">
        <x:v>274</x:v>
      </x:c>
      <x:c r="C27" s="7" t="s">
        <x:v>275</x:v>
      </x:c>
      <x:c r="D27" s="7" t="n">
        <x:v>372</x:v>
      </x:c>
      <x:c r="E27" s="7" t="n">
        <x:v>10</x:v>
      </x:c>
      <x:c r="F27" s="7" t="n">
        <x:v>219.39</x:v>
      </x:c>
      <x:c r="G27" s="7" t="n">
        <x:v>0.589758064516129</x:v>
      </x:c>
    </x:row>
    <x:row r="28" ht="15" hidden="0">
      <x:c r="A28" s="8" t="n">
        <x:v>45667</x:v>
      </x:c>
      <x:c r="B28" s="7" t="s">
        <x:v>221</x:v>
      </x:c>
      <x:c r="C28" s="7" t="s">
        <x:v>276</x:v>
      </x:c>
      <x:c r="D28" s="7" t="n">
        <x:v>432</x:v>
      </x:c>
      <x:c r="E28" s="7" t="n">
        <x:v>11</x:v>
      </x:c>
      <x:c r="F28" s="7" t="n">
        <x:v>254.18</x:v>
      </x:c>
      <x:c r="G28" s="7" t="n">
        <x:v>0.58837962962963</x:v>
      </x:c>
    </x:row>
    <x:row r="29" ht="15" hidden="0">
      <x:c r="A29" s="8" t="n">
        <x:v>45668</x:v>
      </x:c>
      <x:c r="B29" s="7" t="s">
        <x:v>206</x:v>
      </x:c>
      <x:c r="C29" s="7" t="s">
        <x:v>277</x:v>
      </x:c>
      <x:c r="D29" s="7" t="n">
        <x:v>171</x:v>
      </x:c>
      <x:c r="E29" s="7" t="n">
        <x:v>3</x:v>
      </x:c>
      <x:c r="F29" s="7" t="n">
        <x:v>100.29</x:v>
      </x:c>
      <x:c r="G29" s="7" t="n">
        <x:v>0.586491228070176</x:v>
      </x:c>
    </x:row>
    <x:row r="30" ht="15" hidden="0">
      <x:c r="A30" s="8" t="n">
        <x:v>45667</x:v>
      </x:c>
      <x:c r="B30" s="7" t="s">
        <x:v>135</x:v>
      </x:c>
      <x:c r="C30" s="7" t="s">
        <x:v>278</x:v>
      </x:c>
      <x:c r="D30" s="7" t="n">
        <x:v>226</x:v>
      </x:c>
      <x:c r="E30" s="7" t="n">
        <x:v>5</x:v>
      </x:c>
      <x:c r="F30" s="7" t="n">
        <x:v>132.2</x:v>
      </x:c>
      <x:c r="G30" s="7" t="n">
        <x:v>0.584955752212389</x:v>
      </x:c>
    </x:row>
    <x:row r="31" ht="15" hidden="0">
      <x:c r="A31" s="8" t="n">
        <x:v>45668</x:v>
      </x:c>
      <x:c r="B31" s="7" t="s">
        <x:v>200</x:v>
      </x:c>
      <x:c r="C31" s="7" t="s">
        <x:v>279</x:v>
      </x:c>
      <x:c r="D31" s="7" t="n">
        <x:v>412</x:v>
      </x:c>
      <x:c r="E31" s="7" t="n">
        <x:v>9</x:v>
      </x:c>
      <x:c r="F31" s="7" t="n">
        <x:v>238.88</x:v>
      </x:c>
      <x:c r="G31" s="7" t="n">
        <x:v>0.579805825242718</x:v>
      </x:c>
    </x:row>
    <x:row r="32" ht="15" hidden="0">
      <x:c r="A32" s="8" t="n">
        <x:v>45667</x:v>
      </x:c>
      <x:c r="B32" s="7" t="s">
        <x:v>144</x:v>
      </x:c>
      <x:c r="C32" s="7" t="s">
        <x:v>280</x:v>
      </x:c>
      <x:c r="D32" s="7" t="n">
        <x:v>256</x:v>
      </x:c>
      <x:c r="E32" s="7" t="n">
        <x:v>6</x:v>
      </x:c>
      <x:c r="F32" s="7" t="n">
        <x:v>150.08</x:v>
      </x:c>
      <x:c r="G32" s="7" t="n">
        <x:v>0.58625</x:v>
      </x:c>
    </x:row>
    <x:row r="33" ht="15" hidden="0">
      <x:c r="A33" s="8" t="n">
        <x:v>45667</x:v>
      </x:c>
      <x:c r="B33" s="7" t="s">
        <x:v>215</x:v>
      </x:c>
      <x:c r="C33" s="7" t="s">
        <x:v>281</x:v>
      </x:c>
      <x:c r="D33" s="7" t="n">
        <x:v>630</x:v>
      </x:c>
      <x:c r="E33" s="7" t="n">
        <x:v>18</x:v>
      </x:c>
      <x:c r="F33" s="7" t="n">
        <x:v>362.67</x:v>
      </x:c>
      <x:c r="G33" s="7" t="n">
        <x:v>0.575666666666667</x:v>
      </x:c>
    </x:row>
    <x:row r="34" ht="15" hidden="0">
      <x:c r="A34" s="8" t="n">
        <x:v>45668</x:v>
      </x:c>
      <x:c r="B34" s="7" t="s">
        <x:v>110</x:v>
      </x:c>
      <x:c r="C34" s="7" t="s">
        <x:v>282</x:v>
      </x:c>
      <x:c r="D34" s="7" t="n">
        <x:v>762</x:v>
      </x:c>
      <x:c r="E34" s="7" t="n">
        <x:v>17</x:v>
      </x:c>
      <x:c r="F34" s="7" t="n">
        <x:v>454.52</x:v>
      </x:c>
      <x:c r="G34" s="7" t="n">
        <x:v>0.596482939632546</x:v>
      </x:c>
    </x:row>
    <x:row r="35" ht="15" hidden="0">
      <x:c r="A35" s="8" t="n">
        <x:v>45668</x:v>
      </x:c>
      <x:c r="B35" s="7" t="s">
        <x:v>126</x:v>
      </x:c>
      <x:c r="C35" s="7" t="s">
        <x:v>283</x:v>
      </x:c>
      <x:c r="D35" s="7" t="n">
        <x:v>271</x:v>
      </x:c>
      <x:c r="E35" s="7" t="n">
        <x:v>7</x:v>
      </x:c>
      <x:c r="F35" s="7" t="n">
        <x:v>163.7</x:v>
      </x:c>
      <x:c r="G35" s="7" t="n">
        <x:v>0.604059040590406</x:v>
      </x:c>
    </x:row>
    <x:row r="36" ht="15" hidden="0">
      <x:c r="A36" s="8" t="n">
        <x:v>45670</x:v>
      </x:c>
      <x:c r="B36" s="7" t="s">
        <x:v>147</x:v>
      </x:c>
      <x:c r="C36" s="7" t="s">
        <x:v>284</x:v>
      </x:c>
      <x:c r="D36" s="7" t="n">
        <x:v>171</x:v>
      </x:c>
      <x:c r="E36" s="7" t="n">
        <x:v>4</x:v>
      </x:c>
      <x:c r="F36" s="7" t="n">
        <x:v>102.53</x:v>
      </x:c>
      <x:c r="G36" s="7" t="n">
        <x:v>0.599590643274854</x:v>
      </x:c>
    </x:row>
    <x:row r="37" ht="15" hidden="0">
      <x:c r="A37" s="8" t="n">
        <x:v>45670</x:v>
      </x:c>
      <x:c r="B37" s="7" t="s">
        <x:v>191</x:v>
      </x:c>
      <x:c r="C37" s="7" t="s">
        <x:v>285</x:v>
      </x:c>
      <x:c r="D37" s="7" t="n">
        <x:v>257</x:v>
      </x:c>
      <x:c r="E37" s="7" t="n">
        <x:v>8</x:v>
      </x:c>
      <x:c r="F37" s="7" t="n">
        <x:v>149.65</x:v>
      </x:c>
      <x:c r="G37" s="7" t="n">
        <x:v>0.582295719844358</x:v>
      </x:c>
    </x:row>
    <x:row r="38" ht="15" hidden="0">
      <x:c r="A38" s="8" t="n">
        <x:v>45670</x:v>
      </x:c>
      <x:c r="B38" s="7" t="s">
        <x:v>171</x:v>
      </x:c>
      <x:c r="C38" s="7" t="s">
        <x:v>286</x:v>
      </x:c>
      <x:c r="D38" s="7" t="n">
        <x:v>623</x:v>
      </x:c>
      <x:c r="E38" s="7" t="n">
        <x:v>14</x:v>
      </x:c>
      <x:c r="F38" s="7" t="n">
        <x:v>367.59</x:v>
      </x:c>
      <x:c r="G38" s="7" t="n">
        <x:v>0.590032102728732</x:v>
      </x:c>
    </x:row>
    <x:row r="39" ht="15" hidden="0">
      <x:c r="A39" s="8" t="n">
        <x:v>45670</x:v>
      </x:c>
      <x:c r="B39" s="7" t="s">
        <x:v>185</x:v>
      </x:c>
      <x:c r="C39" s="7" t="s">
        <x:v>287</x:v>
      </x:c>
      <x:c r="D39" s="7" t="n">
        <x:v>287</x:v>
      </x:c>
      <x:c r="E39" s="7" t="n">
        <x:v>7</x:v>
      </x:c>
      <x:c r="F39" s="7" t="n">
        <x:v>171.66</x:v>
      </x:c>
      <x:c r="G39" s="7" t="n">
        <x:v>0.598118466898955</x:v>
      </x:c>
    </x:row>
    <x:row r="40" ht="15" hidden="0">
      <x:c r="A40" s="8" t="n">
        <x:v>45673</x:v>
      </x:c>
      <x:c r="B40" s="7" t="s">
        <x:v>138</x:v>
      </x:c>
      <x:c r="C40" s="7" t="s">
        <x:v>288</x:v>
      </x:c>
      <x:c r="D40" s="7" t="n">
        <x:v>411</x:v>
      </x:c>
      <x:c r="E40" s="7" t="n">
        <x:v>11</x:v>
      </x:c>
      <x:c r="F40" s="7" t="n">
        <x:v>237.98</x:v>
      </x:c>
      <x:c r="G40" s="7" t="n">
        <x:v>0.579026763990268</x:v>
      </x:c>
    </x:row>
    <x:row r="41" ht="15" hidden="0">
      <x:c r="A41" s="8" t="n">
        <x:v>45673</x:v>
      </x:c>
      <x:c r="B41" s="7" t="s">
        <x:v>245</x:v>
      </x:c>
      <x:c r="C41" s="7" t="s">
        <x:v>289</x:v>
      </x:c>
      <x:c r="D41" s="7" t="n">
        <x:v>229</x:v>
      </x:c>
      <x:c r="E41" s="7" t="n">
        <x:v>5</x:v>
      </x:c>
      <x:c r="F41" s="7" t="n">
        <x:v>132.28</x:v>
      </x:c>
      <x:c r="G41" s="7" t="n">
        <x:v>0.57764192139738</x:v>
      </x:c>
    </x:row>
    <x:row r="42" ht="15" hidden="0">
      <x:c r="A42" s="8" t="n">
        <x:v>45673</x:v>
      </x:c>
      <x:c r="B42" s="7" t="s">
        <x:v>221</x:v>
      </x:c>
      <x:c r="C42" s="7" t="s">
        <x:v>290</x:v>
      </x:c>
      <x:c r="D42" s="7" t="n">
        <x:v>38</x:v>
      </x:c>
      <x:c r="E42" s="7" t="n">
        <x:v>1</x:v>
      </x:c>
      <x:c r="F42" s="7" t="n">
        <x:v>21.95</x:v>
      </x:c>
      <x:c r="G42" s="7" t="n">
        <x:v>0.577631578947368</x:v>
      </x:c>
    </x:row>
    <x:row r="43" ht="15" hidden="0">
      <x:c r="A43" s="8" t="n">
        <x:v>45673</x:v>
      </x:c>
      <x:c r="B43" s="7" t="s">
        <x:v>237</x:v>
      </x:c>
      <x:c r="C43" s="7" t="s">
        <x:v>291</x:v>
      </x:c>
      <x:c r="D43" s="7" t="n">
        <x:v>886</x:v>
      </x:c>
      <x:c r="E43" s="7" t="n">
        <x:v>21</x:v>
      </x:c>
      <x:c r="F43" s="7" t="n">
        <x:v>514.28</x:v>
      </x:c>
      <x:c r="G43" s="7" t="n">
        <x:v>0.580451467268623</x:v>
      </x:c>
    </x:row>
    <x:row r="44" ht="15" hidden="0">
      <x:c r="A44" s="8" t="n">
        <x:v>45673</x:v>
      </x:c>
      <x:c r="B44" s="7" t="s">
        <x:v>197</x:v>
      </x:c>
      <x:c r="C44" s="7" t="s">
        <x:v>292</x:v>
      </x:c>
      <x:c r="D44" s="7" t="n">
        <x:v>309</x:v>
      </x:c>
      <x:c r="E44" s="7" t="n">
        <x:v>7</x:v>
      </x:c>
      <x:c r="F44" s="7" t="n">
        <x:v>182.05</x:v>
      </x:c>
      <x:c r="G44" s="7" t="n">
        <x:v>0.58915857605178</x:v>
      </x:c>
    </x:row>
    <x:row r="45" ht="15" hidden="0">
      <x:c r="A45" s="8" t="n">
        <x:v>45674</x:v>
      </x:c>
      <x:c r="B45" s="7" t="s">
        <x:v>293</x:v>
      </x:c>
      <x:c r="C45" s="7" t="s">
        <x:v>294</x:v>
      </x:c>
      <x:c r="D45" s="7" t="n">
        <x:v>228</x:v>
      </x:c>
      <x:c r="E45" s="7" t="n">
        <x:v>7</x:v>
      </x:c>
      <x:c r="F45" s="7" t="n">
        <x:v>133.25</x:v>
      </x:c>
      <x:c r="G45" s="7" t="n">
        <x:v>0.584429824561404</x:v>
      </x:c>
    </x:row>
    <x:row r="46" ht="15" hidden="0">
      <x:c r="A46" s="8" t="n">
        <x:v>45674</x:v>
      </x:c>
      <x:c r="B46" s="7" t="s">
        <x:v>206</x:v>
      </x:c>
      <x:c r="C46" s="7" t="s">
        <x:v>295</x:v>
      </x:c>
      <x:c r="D46" s="7" t="n">
        <x:v>126</x:v>
      </x:c>
      <x:c r="E46" s="7" t="n">
        <x:v>3</x:v>
      </x:c>
      <x:c r="F46" s="7" t="n">
        <x:v>72.64</x:v>
      </x:c>
      <x:c r="G46" s="7" t="n">
        <x:v>0.576507936507937</x:v>
      </x:c>
    </x:row>
    <x:row r="47" ht="15" hidden="0">
      <x:c r="A47" s="8" t="n">
        <x:v>45675</x:v>
      </x:c>
      <x:c r="B47" s="7" t="s">
        <x:v>157</x:v>
      </x:c>
      <x:c r="C47" s="7" t="s">
        <x:v>296</x:v>
      </x:c>
      <x:c r="D47" s="7" t="n">
        <x:v>313</x:v>
      </x:c>
      <x:c r="E47" s="7" t="n">
        <x:v>6</x:v>
      </x:c>
      <x:c r="F47" s="7" t="n">
        <x:v>180.75</x:v>
      </x:c>
      <x:c r="G47" s="7" t="n">
        <x:v>0.577476038338658</x:v>
      </x:c>
    </x:row>
    <x:row r="48" ht="15" hidden="0">
      <x:c r="A48" s="8" t="n">
        <x:v>45677</x:v>
      </x:c>
      <x:c r="B48" s="7" t="s">
        <x:v>194</x:v>
      </x:c>
      <x:c r="C48" s="7" t="s">
        <x:v>297</x:v>
      </x:c>
      <x:c r="D48" s="7" t="n">
        <x:v>688</x:v>
      </x:c>
      <x:c r="E48" s="7" t="n">
        <x:v>16</x:v>
      </x:c>
      <x:c r="F48" s="7" t="n">
        <x:v>400.44</x:v>
      </x:c>
      <x:c r="G48" s="7" t="n">
        <x:v>0.58203488372093</x:v>
      </x:c>
    </x:row>
    <x:row r="49" ht="15" hidden="0">
      <x:c r="A49" s="8" t="n">
        <x:v>45677</x:v>
      </x:c>
      <x:c r="B49" s="7" t="s">
        <x:v>248</x:v>
      </x:c>
      <x:c r="C49" s="7" t="s">
        <x:v>298</x:v>
      </x:c>
      <x:c r="D49" s="7" t="n">
        <x:v>446</x:v>
      </x:c>
      <x:c r="E49" s="7" t="n">
        <x:v>9</x:v>
      </x:c>
      <x:c r="F49" s="7" t="n">
        <x:v>261.74</x:v>
      </x:c>
      <x:c r="G49" s="7" t="n">
        <x:v>0.586860986547085</x:v>
      </x:c>
    </x:row>
    <x:row r="50" ht="15" hidden="0">
      <x:c r="A50" s="8" t="n">
        <x:v>45679</x:v>
      </x:c>
      <x:c r="B50" s="7" t="s">
        <x:v>163</x:v>
      </x:c>
      <x:c r="C50" s="7" t="s">
        <x:v>299</x:v>
      </x:c>
      <x:c r="D50" s="7" t="n">
        <x:v>1004</x:v>
      </x:c>
      <x:c r="E50" s="7" t="n">
        <x:v>25</x:v>
      </x:c>
      <x:c r="F50" s="7" t="n">
        <x:v>602.55</x:v>
      </x:c>
      <x:c r="G50" s="7" t="n">
        <x:v>0.600149402390438</x:v>
      </x:c>
    </x:row>
    <x:row r="51" ht="15" hidden="0">
      <x:c r="A51" s="8" t="n">
        <x:v>45679</x:v>
      </x:c>
      <x:c r="B51" s="7" t="s">
        <x:v>107</x:v>
      </x:c>
      <x:c r="C51" s="7" t="s">
        <x:v>300</x:v>
      </x:c>
      <x:c r="D51" s="7" t="n">
        <x:v>765</x:v>
      </x:c>
      <x:c r="E51" s="7" t="n">
        <x:v>18</x:v>
      </x:c>
      <x:c r="F51" s="7" t="n">
        <x:v>455.67</x:v>
      </x:c>
      <x:c r="G51" s="7" t="n">
        <x:v>0.595647058823529</x:v>
      </x:c>
    </x:row>
    <x:row r="52" ht="15" hidden="0">
      <x:c r="A52" s="8" t="n">
        <x:v>45680</x:v>
      </x:c>
      <x:c r="B52" s="7" t="s">
        <x:v>251</x:v>
      </x:c>
      <x:c r="C52" s="7" t="s">
        <x:v>301</x:v>
      </x:c>
      <x:c r="D52" s="7" t="n">
        <x:v>427</x:v>
      </x:c>
      <x:c r="E52" s="7" t="n">
        <x:v>8</x:v>
      </x:c>
      <x:c r="F52" s="7" t="n">
        <x:v>254.76</x:v>
      </x:c>
      <x:c r="G52" s="7" t="n">
        <x:v>0.596627634660422</x:v>
      </x:c>
    </x:row>
    <x:row r="53" ht="15" hidden="0">
      <x:c r="A53" s="8" t="n">
        <x:v>45680</x:v>
      </x:c>
      <x:c r="B53" s="7" t="s">
        <x:v>302</x:v>
      </x:c>
      <x:c r="C53" s="7" t="s">
        <x:v>304</x:v>
      </x:c>
      <x:c r="D53" s="7" t="n">
        <x:v>98</x:v>
      </x:c>
      <x:c r="E53" s="7" t="n">
        <x:v>2</x:v>
      </x:c>
      <x:c r="F53" s="7" t="n">
        <x:v>58.5</x:v>
      </x:c>
      <x:c r="G53" s="7" t="n">
        <x:v>0.596938775510204</x:v>
      </x:c>
    </x:row>
    <x:row r="54" ht="15" hidden="0">
      <x:c r="A54" s="8" t="n">
        <x:v>45687</x:v>
      </x:c>
      <x:c r="B54" s="7" t="s">
        <x:v>217</x:v>
      </x:c>
      <x:c r="C54" s="7" t="s">
        <x:v>305</x:v>
      </x:c>
      <x:c r="D54" s="7" t="n">
        <x:v>776</x:v>
      </x:c>
      <x:c r="E54" s="7" t="n">
        <x:v>20</x:v>
      </x:c>
      <x:c r="F54" s="7" t="n">
        <x:v>462.79</x:v>
      </x:c>
      <x:c r="G54" s="7" t="n">
        <x:v>0.596378865979382</x:v>
      </x:c>
    </x:row>
    <x:row r="55" ht="15" hidden="0">
      <x:c r="A55" s="8" t="n">
        <x:v>45688</x:v>
      </x:c>
      <x:c r="B55" s="7" t="s">
        <x:v>126</x:v>
      </x:c>
      <x:c r="C55" s="7" t="s">
        <x:v>306</x:v>
      </x:c>
      <x:c r="D55" s="7" t="n">
        <x:v>803</x:v>
      </x:c>
      <x:c r="E55" s="7" t="n">
        <x:v>17</x:v>
      </x:c>
      <x:c r="F55" s="7" t="n">
        <x:v>479.14</x:v>
      </x:c>
      <x:c r="G55" s="7" t="n">
        <x:v>0.596687422166874</x:v>
      </x:c>
    </x:row>
    <x:row r="56" ht="15" hidden="0">
      <x:c r="A56" s="8" t="n">
        <x:v>45688</x:v>
      </x:c>
      <x:c r="B56" s="7" t="s">
        <x:v>110</x:v>
      </x:c>
      <x:c r="C56" s="7" t="s">
        <x:v>307</x:v>
      </x:c>
      <x:c r="D56" s="7" t="n">
        <x:v>533</x:v>
      </x:c>
      <x:c r="E56" s="7" t="n">
        <x:v>16</x:v>
      </x:c>
      <x:c r="F56" s="7" t="n">
        <x:v>316.32</x:v>
      </x:c>
      <x:c r="G56" s="7" t="n">
        <x:v>0.593470919324578</x:v>
      </x:c>
    </x:row>
    <x:row r="57" ht="15" hidden="0">
      <x:c r="A57" s="8" t="n">
        <x:v>45688</x:v>
      </x:c>
      <x:c r="B57" s="7" t="s">
        <x:v>129</x:v>
      </x:c>
      <x:c r="C57" s="7" t="s">
        <x:v>308</x:v>
      </x:c>
      <x:c r="D57" s="7" t="n">
        <x:v>802</x:v>
      </x:c>
      <x:c r="E57" s="7" t="n">
        <x:v>16</x:v>
      </x:c>
      <x:c r="F57" s="7" t="n">
        <x:v>488.27</x:v>
      </x:c>
      <x:c r="G57" s="7" t="n">
        <x:v>0.608815461346633</x:v>
      </x:c>
    </x:row>
    <x:row r="58" ht="15" hidden="0">
      <x:c r="A58" s="8" t="n">
        <x:v>45688</x:v>
      </x:c>
      <x:c r="B58" s="7" t="s">
        <x:v>150</x:v>
      </x:c>
      <x:c r="C58" s="7" t="s">
        <x:v>309</x:v>
      </x:c>
      <x:c r="D58" s="7" t="n">
        <x:v>113</x:v>
      </x:c>
      <x:c r="E58" s="7" t="n">
        <x:v>3</x:v>
      </x:c>
      <x:c r="F58" s="7" t="n">
        <x:v>67.81</x:v>
      </x:c>
      <x:c r="G58" s="7" t="n">
        <x:v>0.600088495575221</x:v>
      </x:c>
    </x:row>
    <x:row r="59" ht="15" hidden="0">
      <x:c r="A59" s="8" t="n">
        <x:v>45689</x:v>
      </x:c>
      <x:c r="B59" s="7" t="s">
        <x:v>171</x:v>
      </x:c>
      <x:c r="C59" s="7" t="s">
        <x:v>310</x:v>
      </x:c>
      <x:c r="D59" s="7" t="n">
        <x:v>503</x:v>
      </x:c>
      <x:c r="E59" s="7" t="n">
        <x:v>14</x:v>
      </x:c>
      <x:c r="F59" s="7" t="n">
        <x:v>300.13</x:v>
      </x:c>
      <x:c r="G59" s="7" t="n">
        <x:v>0.596679920477137</x:v>
      </x:c>
    </x:row>
    <x:row r="60" ht="15" hidden="0">
      <x:c r="A60" s="8" t="n">
        <x:v>45714</x:v>
      </x:c>
      <x:c r="B60" s="7" t="s">
        <x:v>113</x:v>
      </x:c>
      <x:c r="C60" s="7" t="s">
        <x:v>311</x:v>
      </x:c>
      <x:c r="D60" s="7" t="n">
        <x:v>1251</x:v>
      </x:c>
      <x:c r="E60" s="7" t="n">
        <x:v>33</x:v>
      </x:c>
      <x:c r="F60" s="7" t="n">
        <x:v>729.95</x:v>
      </x:c>
      <x:c r="G60" s="7" t="n">
        <x:v>0.583493205435652</x:v>
      </x:c>
    </x:row>
    <x:row r="61" ht="15" hidden="0">
      <x:c r="A61" s="8" t="n">
        <x:v>45715</x:v>
      </x:c>
      <x:c r="B61" s="7" t="s">
        <x:v>141</x:v>
      </x:c>
      <x:c r="C61" s="7" t="s">
        <x:v>313</x:v>
      </x:c>
      <x:c r="D61" s="7" t="n">
        <x:v>1015</x:v>
      </x:c>
      <x:c r="E61" s="7" t="n">
        <x:v>29</x:v>
      </x:c>
      <x:c r="F61" s="7" t="n">
        <x:v>622.12</x:v>
      </x:c>
      <x:c r="G61" s="7" t="n">
        <x:v>0.612926108374384</x:v>
      </x:c>
    </x:row>
    <x:row r="62" ht="15" hidden="0">
      <x:c r="A62" s="8" t="n">
        <x:v>45717</x:v>
      </x:c>
      <x:c r="B62" s="7" t="s">
        <x:v>126</x:v>
      </x:c>
      <x:c r="C62" s="7" t="s">
        <x:v>314</x:v>
      </x:c>
      <x:c r="D62" s="7" t="n">
        <x:v>1328</x:v>
      </x:c>
      <x:c r="E62" s="7" t="n">
        <x:v>30</x:v>
      </x:c>
      <x:c r="F62" s="7" t="n">
        <x:v>794.3</x:v>
      </x:c>
      <x:c r="G62" s="7" t="n">
        <x:v>0.598117469879518</x:v>
      </x:c>
    </x:row>
    <x:row r="63" ht="15" hidden="0">
      <x:c r="A63" s="8" t="n">
        <x:v>45716</x:v>
      </x:c>
      <x:c r="B63" s="7" t="s">
        <x:v>157</x:v>
      </x:c>
      <x:c r="C63" s="7" t="s">
        <x:v>315</x:v>
      </x:c>
      <x:c r="D63" s="7" t="n">
        <x:v>888</x:v>
      </x:c>
      <x:c r="E63" s="7" t="n">
        <x:v>21</x:v>
      </x:c>
      <x:c r="F63" s="7" t="n">
        <x:v>529.31</x:v>
      </x:c>
      <x:c r="G63" s="7" t="n">
        <x:v>0.59606981981982</x:v>
      </x:c>
    </x:row>
    <x:row r="64" ht="15" hidden="0">
      <x:c r="A64" s="8" t="n">
        <x:v>45719</x:v>
      </x:c>
      <x:c r="B64" s="7" t="s">
        <x:v>266</x:v>
      </x:c>
      <x:c r="C64" s="7" t="s">
        <x:v>316</x:v>
      </x:c>
      <x:c r="D64" s="7" t="n">
        <x:v>495</x:v>
      </x:c>
      <x:c r="E64" s="7" t="n">
        <x:v>14</x:v>
      </x:c>
      <x:c r="F64" s="7" t="n">
        <x:v>295.43</x:v>
      </x:c>
      <x:c r="G64" s="7" t="n">
        <x:v>0.596828282828283</x:v>
      </x:c>
    </x:row>
    <x:row r="65" ht="15" hidden="0">
      <x:c r="A65" s="8" t="n">
        <x:v>45719</x:v>
      </x:c>
      <x:c r="B65" s="7" t="s">
        <x:v>240</x:v>
      </x:c>
      <x:c r="C65" s="7" t="s">
        <x:v>317</x:v>
      </x:c>
      <x:c r="D65" s="7" t="n">
        <x:v>975</x:v>
      </x:c>
      <x:c r="E65" s="7" t="n">
        <x:v>24</x:v>
      </x:c>
      <x:c r="F65" s="7" t="n">
        <x:v>574.4</x:v>
      </x:c>
      <x:c r="G65" s="7" t="n">
        <x:v>0.589128205128205</x:v>
      </x:c>
    </x:row>
    <x:row r="66" ht="15" hidden="0">
      <x:c r="A66" s="8" t="n">
        <x:v>45719</x:v>
      </x:c>
      <x:c r="B66" s="7" t="s">
        <x:v>245</x:v>
      </x:c>
      <x:c r="C66" s="7" t="s">
        <x:v>318</x:v>
      </x:c>
      <x:c r="D66" s="7" t="n">
        <x:v>493</x:v>
      </x:c>
      <x:c r="E66" s="7" t="n">
        <x:v>14</x:v>
      </x:c>
      <x:c r="F66" s="7" t="n">
        <x:v>291.28</x:v>
      </x:c>
      <x:c r="G66" s="7" t="n">
        <x:v>0.590831643002028</x:v>
      </x:c>
    </x:row>
    <x:row r="67" ht="15" hidden="0">
      <x:c r="A67" s="8" t="n">
        <x:v>45719</x:v>
      </x:c>
      <x:c r="B67" s="7" t="s">
        <x:v>274</x:v>
      </x:c>
      <x:c r="C67" s="7" t="s">
        <x:v>319</x:v>
      </x:c>
      <x:c r="D67" s="7" t="n">
        <x:v>267</x:v>
      </x:c>
      <x:c r="E67" s="7" t="n">
        <x:v>6</x:v>
      </x:c>
      <x:c r="F67" s="7" t="n">
        <x:v>157.27</x:v>
      </x:c>
      <x:c r="G67" s="7" t="n">
        <x:v>0.589026217228465</x:v>
      </x:c>
    </x:row>
    <x:row r="68" ht="15" hidden="0">
      <x:c r="A68" s="8" t="n">
        <x:v>45719</x:v>
      </x:c>
      <x:c r="B68" s="7" t="s">
        <x:v>228</x:v>
      </x:c>
      <x:c r="C68" s="7" t="s">
        <x:v>320</x:v>
      </x:c>
      <x:c r="D68" s="7" t="n">
        <x:v>1241</x:v>
      </x:c>
      <x:c r="E68" s="7" t="n">
        <x:v>32</x:v>
      </x:c>
      <x:c r="F68" s="7" t="n">
        <x:v>738.49</x:v>
      </x:c>
      <x:c r="G68" s="7" t="n">
        <x:v>0.595076551168413</x:v>
      </x:c>
    </x:row>
  </x:sheetData>
  <x:pageMargins left="0.7" right="0.7" top="0.75" bottom="0.75" header="0.3" footer="0.3"/>
</x:worksheet>
</file>

<file path=xl/worksheets/sheet6.xml><?xml version="1.0" encoding="utf-8"?>
<x:worksheet xmlns:x="http://schemas.openxmlformats.org/spreadsheetml/2006/main">
  <x:sheetPr>
    <x:tabColor rgb="FF808080"/>
  </x:sheetPr>
  <x:sheetViews>
    <x:sheetView showGridLines="0" workbookViewId="0"/>
  </x:sheetViews>
  <x:sheetFormatPr defaultColWidth="8.6796875" defaultRowHeight="15"/>
  <x:sheetData>
    <x:row r="1" ht="15" hidden="0">
      <x:c r="A1" s="7" t="s">
        <x:v>465</x:v>
      </x:c>
      <x:c r="B1" s="7" t="s">
        <x:v>466</x:v>
      </x:c>
      <x:c r="C1" s="7" t="s">
        <x:v>467</x:v>
      </x:c>
      <x:c r="F1" s="7" t="s">
        <x:v>468</x:v>
      </x:c>
      <x:c r="G1" s="7" t="s">
        <x:v>469</x:v>
      </x:c>
      <x:c r="H1" s="7" t="s">
        <x:v>470</x:v>
      </x:c>
      <x:c r="I1" s="7" t="s">
        <x:v>471</x:v>
      </x:c>
      <x:c r="J1" s="7" t="s">
        <x:v>472</x:v>
      </x:c>
    </x:row>
    <x:row r="2" ht="15" hidden="0">
      <x:c r="C2" s="7" t="s">
        <x:v>473</x:v>
      </x:c>
      <x:c r="D2" s="7" t="s">
        <x:v>474</x:v>
      </x:c>
      <x:c r="E2" s="7" t="s">
        <x:v>475</x:v>
      </x:c>
    </x:row>
    <x:row r="3" ht="15" hidden="0">
      <x:c r="A3" s="9" t="s">
        <x:v>476</x:v>
      </x:c>
      <x:c r="B3" s="7" t="s">
        <x:v>477</x:v>
      </x:c>
      <x:c r="C3" s="7" t="s">
        <x:v>478</x:v>
      </x:c>
      <x:c r="D3" s="7" t="s">
        <x:v>479</x:v>
      </x:c>
      <x:c r="E3" s="7" t="s">
        <x:v>480</x:v>
      </x:c>
      <x:c r="F3" s="7" t="s">
        <x:v>481</x:v>
      </x:c>
      <x:c r="G3" s="7" t="s">
        <x:v>482</x:v>
      </x:c>
      <x:c r="H3" s="7" t="s">
        <x:v>483</x:v>
      </x:c>
      <x:c r="I3" s="7" t="s">
        <x:v>484</x:v>
      </x:c>
      <x:c r="J3" s="7" t="s">
        <x:v>485</x:v>
      </x:c>
    </x:row>
    <x:row r="4" ht="15" hidden="0">
      <x:c r="B4" s="7" t="s">
        <x:v>486</x:v>
      </x:c>
      <x:c r="C4" s="7" t="s">
        <x:v>487</x:v>
      </x:c>
      <x:c r="D4" s="7" t="s">
        <x:v>488</x:v>
      </x:c>
      <x:c r="E4" s="7" t="s">
        <x:v>480</x:v>
      </x:c>
      <x:c r="F4" s="7" t="s">
        <x:v>489</x:v>
      </x:c>
      <x:c r="G4" s="7" t="s">
        <x:v>490</x:v>
      </x:c>
      <x:c r="H4" s="7" t="s">
        <x:v>483</x:v>
      </x:c>
      <x:c r="I4" s="7" t="s">
        <x:v>484</x:v>
      </x:c>
      <x:c r="J4" s="7" t="s">
        <x:v>485</x:v>
      </x:c>
    </x:row>
    <x:row r="5" ht="15" hidden="0">
      <x:c r="B5" s="7" t="s">
        <x:v>491</x:v>
      </x:c>
      <x:c r="C5" s="7" t="s">
        <x:v>487</x:v>
      </x:c>
      <x:c r="D5" s="7" t="s">
        <x:v>488</x:v>
      </x:c>
      <x:c r="E5" s="7" t="s">
        <x:v>480</x:v>
      </x:c>
      <x:c r="F5" s="7" t="s">
        <x:v>492</x:v>
      </x:c>
      <x:c r="G5" s="7" t="s">
        <x:v>493</x:v>
      </x:c>
      <x:c r="H5" s="7" t="s">
        <x:v>483</x:v>
      </x:c>
      <x:c r="I5" s="7" t="s">
        <x:v>484</x:v>
      </x:c>
      <x:c r="J5" s="7" t="s">
        <x:v>485</x:v>
      </x:c>
    </x:row>
    <x:row r="6" ht="15" hidden="0">
      <x:c r="B6" s="7" t="s">
        <x:v>494</x:v>
      </x:c>
      <x:c r="C6" s="7" t="s">
        <x:v>495</x:v>
      </x:c>
      <x:c r="D6" s="7" t="s">
        <x:v>495</x:v>
      </x:c>
      <x:c r="E6" s="7" t="s">
        <x:v>496</x:v>
      </x:c>
      <x:c r="F6" s="7" t="s">
        <x:v>497</x:v>
      </x:c>
      <x:c r="G6" s="7" t="s">
        <x:v>498</x:v>
      </x:c>
      <x:c r="H6" s="7" t="s">
        <x:v>483</x:v>
      </x:c>
      <x:c r="I6" s="7" t="s">
        <x:v>484</x:v>
      </x:c>
      <x:c r="J6" s="7" t="s">
        <x:v>499</x:v>
      </x:c>
    </x:row>
    <x:row r="7" ht="15" hidden="0">
      <x:c r="A7" s="9" t="s">
        <x:v>500</x:v>
      </x:c>
      <x:c r="B7" s="7" t="s">
        <x:v>501</x:v>
      </x:c>
      <x:c r="C7" s="7" t="s">
        <x:v>495</x:v>
      </x:c>
      <x:c r="D7" s="7" t="s">
        <x:v>495</x:v>
      </x:c>
      <x:c r="E7" s="7" t="s">
        <x:v>496</x:v>
      </x:c>
      <x:c r="F7" s="7" t="s">
        <x:v>502</x:v>
      </x:c>
      <x:c r="G7" s="7" t="s">
        <x:v>503</x:v>
      </x:c>
      <x:c r="H7" s="7" t="s">
        <x:v>483</x:v>
      </x:c>
      <x:c r="I7" s="7" t="s">
        <x:v>484</x:v>
      </x:c>
      <x:c r="J7" s="7" t="s">
        <x:v>499</x:v>
      </x:c>
    </x:row>
    <x:row r="8" ht="15" hidden="0">
      <x:c r="B8" s="7" t="s">
        <x:v>477</x:v>
      </x:c>
      <x:c r="C8" s="7" t="s">
        <x:v>495</x:v>
      </x:c>
      <x:c r="D8" s="7" t="s">
        <x:v>495</x:v>
      </x:c>
      <x:c r="E8" s="7" t="s">
        <x:v>496</x:v>
      </x:c>
      <x:c r="F8" s="7" t="s">
        <x:v>504</x:v>
      </x:c>
      <x:c r="G8" s="7" t="s">
        <x:v>505</x:v>
      </x:c>
      <x:c r="H8" s="7" t="s">
        <x:v>483</x:v>
      </x:c>
      <x:c r="I8" s="7" t="s">
        <x:v>484</x:v>
      </x:c>
      <x:c r="J8" s="7" t="s">
        <x:v>506</x:v>
      </x:c>
    </x:row>
    <x:row r="9" ht="15" hidden="0">
      <x:c r="B9" s="7" t="s">
        <x:v>507</x:v>
      </x:c>
      <x:c r="D9" s="7" t="s">
        <x:v>495</x:v>
      </x:c>
      <x:c r="E9" s="7" t="s">
        <x:v>496</x:v>
      </x:c>
      <x:c r="F9" s="7" t="s">
        <x:v>508</x:v>
      </x:c>
      <x:c r="G9" s="7" t="s">
        <x:v>509</x:v>
      </x:c>
      <x:c r="H9" s="7" t="s">
        <x:v>483</x:v>
      </x:c>
      <x:c r="I9" s="7" t="s">
        <x:v>484</x:v>
      </x:c>
      <x:c r="J9" s="7" t="s">
        <x:v>506</x:v>
      </x:c>
    </x:row>
    <x:row r="10" ht="15" hidden="0">
      <x:c r="A10" s="9" t="s">
        <x:v>510</x:v>
      </x:c>
      <x:c r="B10" s="7" t="s">
        <x:v>511</x:v>
      </x:c>
      <x:c r="D10" s="7" t="s">
        <x:v>495</x:v>
      </x:c>
      <x:c r="E10" s="7" t="s">
        <x:v>496</x:v>
      </x:c>
      <x:c r="F10" s="7" t="s">
        <x:v>512</x:v>
      </x:c>
      <x:c r="G10" s="7" t="s">
        <x:v>513</x:v>
      </x:c>
      <x:c r="H10" s="7" t="s">
        <x:v>483</x:v>
      </x:c>
      <x:c r="I10" s="7" t="s">
        <x:v>484</x:v>
      </x:c>
      <x:c r="J10" s="7" t="s">
        <x:v>514</x:v>
      </x:c>
    </x:row>
    <x:row r="11" ht="15" hidden="0">
      <x:c r="A11" s="9" t="s">
        <x:v>515</x:v>
      </x:c>
      <x:c r="B11" s="7" t="s">
        <x:v>516</x:v>
      </x:c>
      <x:c r="C11" s="7" t="s">
        <x:v>517</x:v>
      </x:c>
      <x:c r="D11" s="7" t="s">
        <x:v>517</x:v>
      </x:c>
      <x:c r="E11" s="7" t="s">
        <x:v>517</x:v>
      </x:c>
      <x:c r="F11" s="7" t="s">
        <x:v>518</x:v>
      </x:c>
      <x:c r="G11" s="7" t="s">
        <x:v>493</x:v>
      </x:c>
      <x:c r="H11" s="7" t="s">
        <x:v>483</x:v>
      </x:c>
      <x:c r="I11" s="7" t="s">
        <x:v>484</x:v>
      </x:c>
      <x:c r="J11" s="7" t="s">
        <x:v>519</x:v>
      </x:c>
    </x:row>
    <x:row r="12" ht="15" hidden="0">
      <x:c r="A12" s="7" t="s">
        <x:v>520</x:v>
      </x:c>
      <x:c r="B12" s="7" t="s">
        <x:v>516</x:v>
      </x:c>
      <x:c r="C12" s="7" t="s">
        <x:v>495</x:v>
      </x:c>
      <x:c r="D12" s="7" t="s">
        <x:v>495</x:v>
      </x:c>
      <x:c r="F12" s="7" t="s">
        <x:v>518</x:v>
      </x:c>
      <x:c r="G12" s="7" t="s">
        <x:v>493</x:v>
      </x:c>
      <x:c r="H12" s="7" t="s">
        <x:v>483</x:v>
      </x:c>
      <x:c r="I12" s="7" t="s">
        <x:v>484</x:v>
      </x:c>
      <x:c r="J12" s="7" t="s">
        <x:v>519</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8.6796875" defaultRowHeight="15"/>
  <x:cols>
    <x:col min="1" max="1" width="40" hidden="0" customWidth="1"/>
    <x:col min="2" max="2" width="18" hidden="0" customWidth="1"/>
    <x:col min="3" max="3" width="16" hidden="0" customWidth="1"/>
    <x:col min="4" max="4" width="64" hidden="0" customWidth="1"/>
    <x:col min="5" max="5" width="10" hidden="0" customWidth="1"/>
  </x:cols>
  <x:sheetData>
    <x:row r="1" ht="21.75" hidden="0" customHeight="1">
      <x:c r="A1" s="1" t="s">
        <x:v>521</x:v>
      </x:c>
      <x:c r="B1" s="1"/>
      <x:c r="C1" s="1"/>
      <x:c r="D1" s="1"/>
      <x:c r="E1" s="1"/>
    </x:row>
    <x:row r="3" ht="27.75" hidden="0" customHeight="1">
      <x:c r="A3" s="2" t="s">
        <x:v>522</x:v>
      </x:c>
      <x:c r="B3" s="2" t="s">
        <x:v>523</x:v>
      </x:c>
      <x:c r="C3" s="2" t="s">
        <x:v>524</x:v>
      </x:c>
      <x:c r="D3" s="2" t="s">
        <x:v>525</x:v>
      </x:c>
    </x:row>
    <x:row r="4" ht="15" hidden="0">
      <x:c r="A4" s="6" t="s">
        <x:v>526</x:v>
      </x:c>
      <x:c r="B4" s="10" t="n">
        <x:v>0.7</x:v>
      </x:c>
      <x:c r="C4" s="11" t="s">
        <x:v>527</x:v>
      </x:c>
      <x:c r="D4" s="4" t="s">
        <x:v>528</x:v>
      </x:c>
    </x:row>
    <x:row r="5" ht="15" hidden="0">
      <x:c r="A5" s="6" t="s">
        <x:v>529</x:v>
      </x:c>
      <x:c r="B5" s="12" t="n">
        <x:v>4500</x:v>
      </x:c>
      <x:c r="C5" s="11" t="s">
        <x:v>530</x:v>
      </x:c>
      <x:c r="D5" s="4" t="s">
        <x:v>531</x:v>
      </x:c>
    </x:row>
    <x:row r="6" ht="15" hidden="0">
      <x:c r="A6" s="6" t="s">
        <x:v>532</x:v>
      </x:c>
      <x:c r="B6" s="10" t="n">
        <x:v>30</x:v>
      </x:c>
      <x:c r="C6" s="11" t="s">
        <x:v>533</x:v>
      </x:c>
      <x:c r="D6" s="4" t="s">
        <x:v>534</x:v>
      </x:c>
    </x:row>
    <x:row r="7" ht="15" hidden="0">
      <x:c r="A7" s="6" t="s">
        <x:v>535</x:v>
      </x:c>
      <x:c r="B7" s="12" t="n">
        <x:v>19000</x:v>
      </x:c>
      <x:c r="C7" s="11" t="s">
        <x:v>536</x:v>
      </x:c>
      <x:c r="D7" s="4" t="s">
        <x:v>537</x:v>
      </x:c>
    </x:row>
    <x:row r="8" ht="15" hidden="0">
      <x:c r="A8" s="6" t="s">
        <x:v>538</x:v>
      </x:c>
      <x:c r="B8" s="12" t="n">
        <x:v>60000</x:v>
      </x:c>
      <x:c r="C8" s="11" t="s">
        <x:v>539</x:v>
      </x:c>
      <x:c r="D8" s="4" t="s">
        <x:v>531</x:v>
      </x:c>
    </x:row>
    <x:row r="9" ht="15" hidden="0">
      <x:c r="A9" s="6" t="s">
        <x:v>540</x:v>
      </x:c>
      <x:c r="B9" s="12" t="n">
        <x:v>1114.74</x:v>
      </x:c>
      <x:c r="C9" s="11" t="s">
        <x:v>541</x:v>
      </x:c>
      <x:c r="D9" s="4" t="s">
        <x:v>542</x:v>
      </x:c>
    </x:row>
    <x:row r="10" ht="15" hidden="0">
      <x:c r="A10" s="6" t="s">
        <x:v>543</x:v>
      </x:c>
      <x:c r="B10" s="10" t="n">
        <x:v>2</x:v>
      </x:c>
      <x:c r="C10" s="11" t="s">
        <x:v>544</x:v>
      </x:c>
      <x:c r="D10" s="4" t="s">
        <x:v>545</x:v>
      </x:c>
    </x:row>
    <x:row r="11" ht="15" hidden="0">
      <x:c r="A11" s="6" t="s">
        <x:v>546</x:v>
      </x:c>
      <x:c r="B11" s="10" t="n">
        <x:v>0</x:v>
      </x:c>
      <x:c r="C11" s="11" t="s">
        <x:v>536</x:v>
      </x:c>
      <x:c r="D11" s="4" t="s">
        <x:v>547</x:v>
      </x:c>
    </x:row>
    <x:row r="12" ht="15" hidden="0">
      <x:c r="A12" s="6" t="s">
        <x:v>548</x:v>
      </x:c>
      <x:c r="B12" s="10" t="n">
        <x:v>8</x:v>
      </x:c>
      <x:c r="C12" s="11" t="s">
        <x:v>549</x:v>
      </x:c>
      <x:c r="D12" s="4" t="s">
        <x:v>550</x:v>
      </x:c>
    </x:row>
    <x:row r="13" ht="15" hidden="0">
      <x:c r="A13" s="6" t="s">
        <x:v>551</x:v>
      </x:c>
      <x:c r="B13" s="13" t="n">
        <x:f aca="0">Cost!H2</x:f>
        <x:v>16481</x:v>
      </x:c>
      <x:c r="C13" s="11" t="s">
        <x:v>552</x:v>
      </x:c>
      <x:c r="D13" s="4" t="s">
        <x:v>553</x:v>
      </x:c>
    </x:row>
    <x:row r="14" ht="15" hidden="0">
      <x:c r="A14" s="6" t="s">
        <x:v>554</x:v>
      </x:c>
      <x:c r="B14" s="13" t="n">
        <x:v>2.2046226218</x:v>
      </x:c>
      <x:c r="C14" s="11" t="s">
        <x:v>555</x:v>
      </x:c>
      <x:c r="D14" s="4" t="s">
        <x:v>556</x:v>
      </x:c>
    </x:row>
    <x:row r="15" ht="15" hidden="0">
      <x:c r="A15" s="6" t="s">
        <x:v>557</x:v>
      </x:c>
      <x:c r="B15" s="13" t="n">
        <x:f aca="0">A3_Energi!K68</x:f>
        <x:v>7517.21003323241</x:v>
      </x:c>
      <x:c r="C15" s="11" t="s">
        <x:v>558</x:v>
      </x:c>
      <x:c r="D15" s="4" t="s">
        <x:v>559</x:v>
      </x:c>
    </x:row>
    <x:row r="18" ht="15" hidden="0">
      <x:c r="A18" s="6" t="s">
        <x:v>560</x:v>
      </x:c>
    </x:row>
  </x:sheetData>
  <x:mergeCells>
    <x:mergeCell ref="A1:E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8.6796875" defaultRowHeight="15"/>
  <x:cols>
    <x:col min="1" max="1" width="6" hidden="0" customWidth="1"/>
    <x:col min="2" max="2" width="36" hidden="0" customWidth="1"/>
    <x:col min="3" max="10" width="13" hidden="0" customWidth="1"/>
    <x:col min="11" max="11" width="15" hidden="0" customWidth="1"/>
    <x:col min="12" max="12" width="56" hidden="0" customWidth="1"/>
  </x:cols>
  <x:sheetData>
    <x:row r="1" ht="21.75" hidden="0" customHeight="1">
      <x:c r="A1" s="1" t="s">
        <x:v>561</x:v>
      </x:c>
      <x:c r="B1" s="1"/>
      <x:c r="C1" s="1"/>
      <x:c r="D1" s="1"/>
      <x:c r="E1" s="1"/>
      <x:c r="F1" s="1"/>
      <x:c r="G1" s="1"/>
      <x:c r="H1" s="1"/>
      <x:c r="I1" s="1"/>
      <x:c r="J1" s="1"/>
      <x:c r="K1" s="1"/>
      <x:c r="L1" s="1"/>
    </x:row>
    <x:row r="2" ht="15" hidden="0">
      <x:c r="A2" s="6" t="s">
        <x:v>562</x:v>
      </x:c>
    </x:row>
    <x:row r="4" ht="19.5" hidden="0" customHeight="1">
      <x:c r="A4" s="14" t="s">
        <x:v>563</x:v>
      </x:c>
      <x:c r="B4" s="14"/>
      <x:c r="C4" s="14"/>
      <x:c r="D4" s="14"/>
      <x:c r="E4" s="14"/>
      <x:c r="F4" s="14"/>
      <x:c r="G4" s="14"/>
      <x:c r="H4" s="14"/>
      <x:c r="I4" s="14"/>
      <x:c r="J4" s="14"/>
      <x:c r="K4" s="14"/>
      <x:c r="L4" s="14"/>
    </x:row>
    <x:row r="5" ht="27.75" hidden="0" customHeight="1">
      <x:c r="A5" s="2"/>
      <x:c r="B5" s="2" t="s">
        <x:v>564</x:v>
      </x:c>
      <x:c r="C5" s="2" t="s">
        <x:v>523</x:v>
      </x:c>
      <x:c r="D5" s="2" t="s">
        <x:v>524</x:v>
      </x:c>
      <x:c r="E5" s="2"/>
      <x:c r="F5" s="2"/>
      <x:c r="G5" s="2"/>
      <x:c r="H5" s="2"/>
      <x:c r="I5" s="2"/>
      <x:c r="J5" s="2"/>
      <x:c r="K5" s="2"/>
      <x:c r="L5" s="2" t="s">
        <x:v>565</x:v>
      </x:c>
    </x:row>
    <x:row r="6" ht="15" hidden="0">
      <x:c r="B6" s="6" t="s">
        <x:v>566</x:v>
      </x:c>
      <x:c r="C6" s="15" t="n">
        <x:f aca="0">SUM(Processing!D3:D68)</x:f>
        <x:v>35337</x:v>
      </x:c>
      <x:c r="D6" s="11" t="s">
        <x:v>567</x:v>
      </x:c>
      <x:c r="L6" s="4" t="s">
        <x:v>568</x:v>
      </x:c>
    </x:row>
    <x:row r="7" ht="15" hidden="0">
      <x:c r="B7" s="6" t="s">
        <x:v>569</x:v>
      </x:c>
      <x:c r="C7" s="16" t="n">
        <x:f aca="0">SUM(Processing!F3:F68)</x:f>
        <x:v>20872.65</x:v>
      </x:c>
      <x:c r="D7" s="11" t="s">
        <x:v>570</x:v>
      </x:c>
      <x:c r="L7" s="4" t="s">
        <x:v>571</x:v>
      </x:c>
    </x:row>
    <x:row r="8" ht="15" hidden="0">
      <x:c r="B8" s="6" t="s">
        <x:v>572</x:v>
      </x:c>
      <x:c r="C8" s="17" t="n">
        <x:f aca="0">C7/C6</x:f>
        <x:v>0.5906740809915952</x:v>
      </x:c>
      <x:c r="D8" s="11" t="s">
        <x:v>495</x:v>
      </x:c>
      <x:c r="L8" s="4" t="s">
        <x:v>573</x:v>
      </x:c>
    </x:row>
    <x:row r="10" ht="19.5" hidden="0" customHeight="1">
      <x:c r="A10" s="14" t="s">
        <x:v>574</x:v>
      </x:c>
      <x:c r="B10" s="14"/>
      <x:c r="C10" s="14"/>
      <x:c r="D10" s="14"/>
      <x:c r="E10" s="14"/>
      <x:c r="F10" s="14"/>
      <x:c r="G10" s="14"/>
      <x:c r="H10" s="14"/>
      <x:c r="I10" s="14"/>
      <x:c r="J10" s="14"/>
      <x:c r="K10" s="14"/>
      <x:c r="L10" s="14"/>
    </x:row>
    <x:row r="11" ht="27.75" hidden="0" customHeight="1">
      <x:c r="A11" s="2"/>
      <x:c r="B11" s="2" t="s">
        <x:v>575</x:v>
      </x:c>
      <x:c r="C11" s="2" t="s">
        <x:v>523</x:v>
      </x:c>
      <x:c r="D11" s="2"/>
      <x:c r="E11" s="2"/>
      <x:c r="F11" s="2"/>
      <x:c r="G11" s="2"/>
      <x:c r="H11" s="2"/>
      <x:c r="I11" s="2"/>
      <x:c r="J11" s="2"/>
      <x:c r="K11" s="2"/>
      <x:c r="L11" s="2" t="s">
        <x:v>576</x:v>
      </x:c>
    </x:row>
    <x:row r="12" ht="15" hidden="0">
      <x:c r="B12" s="11" t="s">
        <x:v>577</x:v>
      </x:c>
      <x:c r="C12" s="10" t="n">
        <x:v>0.3946</x:v>
      </x:c>
      <x:c r="L12" s="4" t="s">
        <x:v>578</x:v>
      </x:c>
    </x:row>
    <x:row r="13" ht="15" hidden="0">
      <x:c r="B13" s="11" t="s">
        <x:v>579</x:v>
      </x:c>
      <x:c r="C13" s="10" t="n">
        <x:v>0.7528</x:v>
      </x:c>
      <x:c r="L13" s="4" t="s">
        <x:v>580</x:v>
      </x:c>
    </x:row>
    <x:row r="14" ht="15" hidden="0">
      <x:c r="B14" s="11" t="s">
        <x:v>581</x:v>
      </x:c>
      <x:c r="C14" s="10" t="n">
        <x:v>0.6768</x:v>
      </x:c>
      <x:c r="L14" s="4" t="s">
        <x:v>582</x:v>
      </x:c>
    </x:row>
    <x:row r="15" ht="15" hidden="0">
      <x:c r="B15" s="11" t="s">
        <x:v>583</x:v>
      </x:c>
      <x:c r="C15" s="10" t="n">
        <x:v>0.6272</x:v>
      </x:c>
      <x:c r="L15" s="4" t="s">
        <x:v>582</x:v>
      </x:c>
    </x:row>
    <x:row r="16" ht="23.850000381469727" hidden="0">
      <x:c r="B16" s="11" t="s">
        <x:v>584</x:v>
      </x:c>
      <x:c r="C16" s="10" t="n">
        <x:v>0.0744</x:v>
      </x:c>
      <x:c r="L16" s="4" t="s">
        <x:v>585</x:v>
      </x:c>
    </x:row>
    <x:row r="18" ht="27.75" hidden="0" customHeight="1">
      <x:c r="A18" s="2"/>
      <x:c r="B18" s="2" t="s">
        <x:v>586</x:v>
      </x:c>
      <x:c r="C18" s="2" t="s">
        <x:v>587</x:v>
      </x:c>
      <x:c r="D18" s="2" t="s">
        <x:v>588</x:v>
      </x:c>
      <x:c r="E18" s="2" t="s">
        <x:v>589</x:v>
      </x:c>
      <x:c r="F18" s="2" t="s">
        <x:v>590</x:v>
      </x:c>
      <x:c r="G18" s="2" t="s">
        <x:v>591</x:v>
      </x:c>
      <x:c r="H18" s="2" t="s">
        <x:v>592</x:v>
      </x:c>
      <x:c r="I18" s="2" t="s">
        <x:v>593</x:v>
      </x:c>
      <x:c r="J18" s="2" t="s">
        <x:v>594</x:v>
      </x:c>
      <x:c r="K18" s="2"/>
      <x:c r="L18" s="2" t="s">
        <x:v>595</x:v>
      </x:c>
    </x:row>
    <x:row r="19" ht="23.850000381469727" hidden="0">
      <x:c r="B19" s="6" t="s">
        <x:v>596</x:v>
      </x:c>
      <x:c r="C19" s="13" t="n">
        <x:f aca="0">C12/C13</x:f>
        <x:v>0.5241764080765143</x:v>
      </x:c>
      <x:c r="D19" s="13" t="n">
        <x:f aca="0">C14*C15</x:f>
        <x:v>0.42448895999999997</x:v>
      </x:c>
      <x:c r="E19" s="13" t="n">
        <x:f aca="0">C14*C15</x:f>
        <x:v>0.42448895999999997</x:v>
      </x:c>
      <x:c r="F19" s="13" t="n">
        <x:f aca="0">C14*C15</x:f>
        <x:v>0.42448895999999997</x:v>
      </x:c>
      <x:c r="G19" s="13" t="n">
        <x:f aca="0">C14*C15</x:f>
        <x:v>0.42448895999999997</x:v>
      </x:c>
      <x:c r="H19" s="13" t="n">
        <x:f aca="0">C14*C15</x:f>
        <x:v>0.42448895999999997</x:v>
      </x:c>
      <x:c r="I19" s="10" t="n">
        <x:v>0.45</x:v>
      </x:c>
      <x:c r="J19" s="10" t="n">
        <x:v>0.55</x:v>
      </x:c>
      <x:c r="L19" s="4" t="s">
        <x:v>597</x:v>
      </x:c>
    </x:row>
    <x:row r="20" ht="15" hidden="0">
      <x:c r="B20" s="11" t="s">
        <x:v>598</x:v>
      </x:c>
      <x:c r="C20" s="18" t="s">
        <x:v>599</x:v>
      </x:c>
      <x:c r="D20" s="18" t="s">
        <x:v>600</x:v>
      </x:c>
      <x:c r="E20" s="18" t="s">
        <x:v>600</x:v>
      </x:c>
      <x:c r="F20" s="18" t="s">
        <x:v>600</x:v>
      </x:c>
      <x:c r="G20" s="18" t="s">
        <x:v>600</x:v>
      </x:c>
      <x:c r="H20" s="18" t="s">
        <x:v>601</x:v>
      </x:c>
      <x:c r="I20" s="18" t="s">
        <x:v>602</x:v>
      </x:c>
      <x:c r="J20" s="18" t="s">
        <x:v>602</x:v>
      </x:c>
    </x:row>
    <x:row r="21" ht="15" hidden="0">
      <x:c r="B21" s="6" t="s">
        <x:v>603</x:v>
      </x:c>
      <x:c r="C21" s="16" t="n">
        <x:f aca="0">Cost!M41+Cost!M54</x:f>
        <x:v>4869.95</x:v>
      </x:c>
      <x:c r="D21" s="11" t="s">
        <x:v>604</x:v>
      </x:c>
    </x:row>
    <x:row r="22" ht="15" hidden="0">
      <x:c r="B22" s="11" t="s">
        <x:v>605</x:v>
      </x:c>
      <x:c r="C22" s="16" t="n">
        <x:f aca="0">Cost!E13</x:f>
        <x:v>2270</x:v>
      </x:c>
      <x:c r="D22" s="11" t="s">
        <x:v>536</x:v>
      </x:c>
    </x:row>
    <x:row r="23" ht="35.04999923706055" hidden="0">
      <x:c r="B23" s="6" t="s">
        <x:v>606</x:v>
      </x:c>
      <x:c r="C23" s="17" t="n">
        <x:f aca="0">C22/C21</x:f>
        <x:v>0.4661238821753817</x:v>
      </x:c>
      <x:c r="L23" s="4" t="s">
        <x:v>607</x:v>
      </x:c>
    </x:row>
    <x:row r="25" ht="19.5" hidden="0" customHeight="1">
      <x:c r="A25" s="14" t="s">
        <x:v>608</x:v>
      </x:c>
      <x:c r="B25" s="14"/>
      <x:c r="C25" s="14"/>
      <x:c r="D25" s="14"/>
      <x:c r="E25" s="14"/>
      <x:c r="F25" s="14"/>
      <x:c r="G25" s="14"/>
      <x:c r="H25" s="14"/>
      <x:c r="I25" s="14"/>
      <x:c r="J25" s="14"/>
      <x:c r="K25" s="14"/>
      <x:c r="L25" s="14"/>
    </x:row>
    <x:row r="26" ht="27.75" hidden="0" customHeight="1">
      <x:c r="A26" s="2"/>
      <x:c r="B26" s="2" t="s">
        <x:v>564</x:v>
      </x:c>
      <x:c r="C26" s="2" t="s">
        <x:v>587</x:v>
      </x:c>
      <x:c r="D26" s="2" t="s">
        <x:v>588</x:v>
      </x:c>
      <x:c r="E26" s="2" t="s">
        <x:v>589</x:v>
      </x:c>
      <x:c r="F26" s="2" t="s">
        <x:v>590</x:v>
      </x:c>
      <x:c r="G26" s="2" t="s">
        <x:v>591</x:v>
      </x:c>
      <x:c r="H26" s="2" t="s">
        <x:v>592</x:v>
      </x:c>
      <x:c r="I26" s="2" t="s">
        <x:v>593</x:v>
      </x:c>
      <x:c r="J26" s="2" t="s">
        <x:v>594</x:v>
      </x:c>
      <x:c r="K26" s="2" t="s">
        <x:v>393</x:v>
      </x:c>
      <x:c r="L26" s="2" t="s">
        <x:v>595</x:v>
      </x:c>
    </x:row>
    <x:row r="27" ht="15" hidden="0">
      <x:c r="B27" s="6" t="s">
        <x:v>609</x:v>
      </x:c>
      <x:c r="C27" s="19" t="n">
        <x:f aca="0">Cost!E8</x:f>
        <x:v>5416.22</x:v>
      </x:c>
      <x:c r="D27" s="19" t="n">
        <x:f aca="0">Cost!E9</x:f>
        <x:v>2270</x:v>
      </x:c>
      <x:c r="E27" s="19" t="n">
        <x:f aca="0">Cost!E10</x:f>
        <x:v>2724</x:v>
      </x:c>
      <x:c r="F27" s="19" t="n">
        <x:f aca="0">Cost!E11</x:f>
        <x:v>3863.54</x:v>
      </x:c>
      <x:c r="G27" s="19" t="n">
        <x:f aca="0">Cost!E12</x:f>
        <x:v>2542.4</x:v>
      </x:c>
      <x:c r="H27" s="19" t="n">
        <x:f aca="0">Cost!E13</x:f>
        <x:v>2270</x:v>
      </x:c>
      <x:c r="I27" s="19" t="n">
        <x:f aca="0">Cost!E14</x:f>
        <x:v>889.84</x:v>
      </x:c>
      <x:c r="J27" s="19" t="n">
        <x:f aca="0">A1_Kendali!B11</x:f>
        <x:v>0</x:v>
      </x:c>
      <x:c r="K27" s="20" t="n">
        <x:f aca="0">SUM(C27:J27)</x:f>
        <x:v>19976.000000000004</x:v>
      </x:c>
      <x:c r="L27" s="4" t="s">
        <x:v>610</x:v>
      </x:c>
    </x:row>
    <x:row r="28" ht="15" hidden="0">
      <x:c r="B28" s="6" t="s">
        <x:v>611</x:v>
      </x:c>
      <x:c r="C28" s="13" t="n">
        <x:f aca="0">1/($C$8*C19)</x:f>
        <x:v>3.2297924518531342</x:v>
      </x:c>
      <x:c r="D28" s="13" t="n">
        <x:f aca="0">1/($C$8*D19)</x:f>
        <x:v>3.988280416633249</x:v>
      </x:c>
      <x:c r="E28" s="13" t="n">
        <x:f aca="0">1/($C$8*E19)</x:f>
        <x:v>3.988280416633249</x:v>
      </x:c>
      <x:c r="F28" s="13" t="n">
        <x:f aca="0">1/($C$8*F19)</x:f>
        <x:v>3.988280416633249</x:v>
      </x:c>
      <x:c r="G28" s="13" t="n">
        <x:f aca="0">1/($C$8*G19)</x:f>
        <x:v>3.988280416633249</x:v>
      </x:c>
      <x:c r="H28" s="13" t="n">
        <x:f aca="0">1/($C$8*H19)</x:f>
        <x:v>3.988280416633249</x:v>
      </x:c>
      <x:c r="I28" s="13" t="n">
        <x:f aca="0">1/($C$8*I19)</x:f>
        <x:v>3.76218001387781</x:v>
      </x:c>
      <x:c r="J28" s="13" t="n">
        <x:f aca="0">1/($C$8*J19)</x:f>
        <x:v>3.0781472840818442</x:v>
      </x:c>
      <x:c r="L28" s="4" t="s">
        <x:v>612</x:v>
      </x:c>
    </x:row>
    <x:row r="29" ht="15" hidden="0">
      <x:c r="B29" s="6" t="s">
        <x:v>613</x:v>
      </x:c>
      <x:c r="C29" s="16" t="n">
        <x:f aca="0">C27*C28</x:f>
        <x:v>17493.266473575983</x:v>
      </x:c>
      <x:c r="D29" s="16" t="n">
        <x:f aca="0">D27*D28</x:f>
        <x:v>9053.396545757474</x:v>
      </x:c>
      <x:c r="E29" s="16" t="n">
        <x:f aca="0">E27*E28</x:f>
        <x:v>10864.07585490897</x:v>
      </x:c>
      <x:c r="F29" s="16" t="n">
        <x:f aca="0">F27*F28</x:f>
        <x:v>15408.880920879223</x:v>
      </x:c>
      <x:c r="G29" s="16" t="n">
        <x:f aca="0">G27*G28</x:f>
        <x:v>10139.804131248373</x:v>
      </x:c>
      <x:c r="H29" s="16" t="n">
        <x:f aca="0">H27*H28</x:f>
        <x:v>9053.396545757474</x:v>
      </x:c>
      <x:c r="I29" s="16" t="n">
        <x:f aca="0">I27*I28</x:f>
        <x:v>3347.7382635490303</x:v>
      </x:c>
      <x:c r="J29" s="16" t="n">
        <x:f aca="0">J27*J28</x:f>
        <x:v>0</x:v>
      </x:c>
      <x:c r="K29" s="21" t="n">
        <x:f aca="0">SUM(C29:J29)</x:f>
        <x:v>75360.55873567653</x:v>
      </x:c>
      <x:c r="L29" s="4" t="s">
        <x:v>614</x:v>
      </x:c>
    </x:row>
    <x:row r="30" ht="15" hidden="0">
      <x:c r="B30" s="11" t="s">
        <x:v>615</x:v>
      </x:c>
      <x:c r="C30" s="22" t="n">
        <x:f aca="0">C29/$K$29</x:f>
        <x:v>0.23212761114116415</x:v>
      </x:c>
      <x:c r="D30" s="22" t="n">
        <x:f aca="0">D29/$K$29</x:f>
        <x:v>0.12013441377885505</x:v>
      </x:c>
      <x:c r="E30" s="22" t="n">
        <x:f aca="0">E29/$K$29</x:f>
        <x:v>0.14416129653462606</x:v>
      </x:c>
      <x:c r="F30" s="22" t="n">
        <x:f aca="0">F29/$K$29</x:f>
        <x:v>0.2044687722516113</x:v>
      </x:c>
      <x:c r="G30" s="22" t="n">
        <x:f aca="0">G29/$K$29</x:f>
        <x:v>0.13455054343231768</x:v>
      </x:c>
      <x:c r="H30" s="22" t="n">
        <x:f aca="0">H29/$K$29</x:f>
        <x:v>0.12013441377885505</x:v>
      </x:c>
      <x:c r="I30" s="22" t="n">
        <x:f aca="0">I29/$K$29</x:f>
        <x:v>0.044422949082570606</x:v>
      </x:c>
      <x:c r="J30" s="22" t="n">
        <x:f aca="0">J29/$K$29</x:f>
        <x:v>0</x:v>
      </x:c>
    </x:row>
    <x:row r="32" ht="19.5" hidden="0" customHeight="1">
      <x:c r="A32" s="14" t="s">
        <x:v>616</x:v>
      </x:c>
      <x:c r="B32" s="14"/>
      <x:c r="C32" s="14"/>
      <x:c r="D32" s="14"/>
      <x:c r="E32" s="14"/>
      <x:c r="F32" s="14"/>
      <x:c r="G32" s="14"/>
      <x:c r="H32" s="14"/>
      <x:c r="I32" s="14"/>
      <x:c r="J32" s="14"/>
      <x:c r="K32" s="14"/>
      <x:c r="L32" s="14"/>
    </x:row>
    <x:row r="33" ht="27.75" hidden="0" customHeight="1">
      <x:c r="A33" s="2"/>
      <x:c r="B33" s="2" t="s">
        <x:v>617</x:v>
      </x:c>
      <x:c r="C33" s="2" t="s">
        <x:v>523</x:v>
      </x:c>
      <x:c r="D33" s="2" t="s">
        <x:v>524</x:v>
      </x:c>
      <x:c r="E33" s="2"/>
      <x:c r="F33" s="2"/>
      <x:c r="G33" s="2"/>
      <x:c r="H33" s="2"/>
      <x:c r="I33" s="2"/>
      <x:c r="J33" s="2"/>
      <x:c r="K33" s="2"/>
      <x:c r="L33" s="2" t="s">
        <x:v>565</x:v>
      </x:c>
    </x:row>
    <x:row r="34" ht="15" hidden="0">
      <x:c r="B34" s="6" t="s">
        <x:v>618</x:v>
      </x:c>
      <x:c r="C34" s="19" t="n">
        <x:f aca="0">Cost!D28</x:f>
        <x:v>50136</x:v>
      </x:c>
      <x:c r="D34" s="11" t="s">
        <x:v>604</x:v>
      </x:c>
      <x:c r="L34" s="4" t="s">
        <x:v>619</x:v>
      </x:c>
    </x:row>
    <x:row r="35" ht="15" hidden="0">
      <x:c r="B35" s="6" t="s">
        <x:v>620</x:v>
      </x:c>
      <x:c r="C35" s="19" t="n">
        <x:f aca="0">Cost!D31</x:f>
        <x:v>8643</x:v>
      </x:c>
      <x:c r="D35" s="11" t="s">
        <x:v>604</x:v>
      </x:c>
      <x:c r="L35" s="4" t="s">
        <x:v>621</x:v>
      </x:c>
    </x:row>
    <x:row r="36" ht="15" hidden="0">
      <x:c r="B36" s="6" t="s">
        <x:v>622</x:v>
      </x:c>
      <x:c r="C36" s="19" t="n">
        <x:f aca="0">SUM(Cost!D36:D40)</x:f>
        <x:v>3747.1200000000003</x:v>
      </x:c>
      <x:c r="D36" s="11" t="s">
        <x:v>604</x:v>
      </x:c>
      <x:c r="L36" s="4" t="s">
        <x:v>623</x:v>
      </x:c>
    </x:row>
    <x:row r="37" ht="15" hidden="0">
      <x:c r="B37" s="6" t="s">
        <x:v>624</x:v>
      </x:c>
      <x:c r="C37" s="23" t="n">
        <x:f aca="0">SUM(C34:C36)</x:f>
        <x:v>62526.12</x:v>
      </x:c>
      <x:c r="D37" s="11" t="s">
        <x:v>604</x:v>
      </x:c>
      <x:c r="L37" s="4" t="s">
        <x:v>625</x:v>
      </x:c>
    </x:row>
    <x:row r="38" ht="15" hidden="0">
      <x:c r="B38" s="6" t="s">
        <x:v>626</x:v>
      </x:c>
      <x:c r="C38" s="19" t="n">
        <x:f aca="0">Cost!D27</x:f>
        <x:v>62526.12</x:v>
      </x:c>
      <x:c r="D38" s="11" t="s">
        <x:v>604</x:v>
      </x:c>
    </x:row>
    <x:row r="39" ht="15" hidden="0">
      <x:c r="B39" s="6" t="s">
        <x:v>627</x:v>
      </x:c>
      <x:c r="C39" s="24" t="n">
        <x:f aca="0">C37-C38</x:f>
        <x:v>0</x:v>
      </x:c>
      <x:c r="L39" s="4" t="s">
        <x:v>628</x:v>
      </x:c>
    </x:row>
    <x:row r="41" ht="19.5" hidden="0" customHeight="1">
      <x:c r="A41" s="14" t="s">
        <x:v>629</x:v>
      </x:c>
      <x:c r="B41" s="14"/>
      <x:c r="C41" s="14"/>
      <x:c r="D41" s="14"/>
      <x:c r="E41" s="14"/>
      <x:c r="F41" s="14"/>
      <x:c r="G41" s="14"/>
      <x:c r="H41" s="14"/>
      <x:c r="I41" s="14"/>
      <x:c r="J41" s="14"/>
      <x:c r="K41" s="14"/>
      <x:c r="L41" s="14"/>
    </x:row>
    <x:row r="42" ht="27.75" hidden="0" customHeight="1">
      <x:c r="A42" s="2"/>
      <x:c r="B42" s="2" t="s">
        <x:v>564</x:v>
      </x:c>
      <x:c r="C42" s="2" t="s">
        <x:v>523</x:v>
      </x:c>
      <x:c r="D42" s="2" t="s">
        <x:v>524</x:v>
      </x:c>
      <x:c r="E42" s="2"/>
      <x:c r="F42" s="2"/>
      <x:c r="G42" s="2"/>
      <x:c r="H42" s="2"/>
      <x:c r="I42" s="2"/>
      <x:c r="J42" s="2"/>
      <x:c r="K42" s="2"/>
      <x:c r="L42" s="2" t="s">
        <x:v>595</x:v>
      </x:c>
    </x:row>
    <x:row r="43" ht="15" hidden="0">
      <x:c r="B43" s="6" t="s">
        <x:v>630</x:v>
      </x:c>
      <x:c r="C43" s="16" t="n">
        <x:f aca="0">K29</x:f>
        <x:v>75360.55873567653</x:v>
      </x:c>
      <x:c r="D43" s="11" t="s">
        <x:v>604</x:v>
      </x:c>
      <x:c r="L43" s="4" t="s">
        <x:v>631</x:v>
      </x:c>
    </x:row>
    <x:row r="44" ht="15" hidden="0">
      <x:c r="B44" s="6" t="s">
        <x:v>632</x:v>
      </x:c>
      <x:c r="C44" s="16" t="n">
        <x:f aca="0">C38</x:f>
        <x:v>62526.12</x:v>
      </x:c>
      <x:c r="D44" s="11" t="s">
        <x:v>604</x:v>
      </x:c>
      <x:c r="L44" s="4" t="s">
        <x:v>633</x:v>
      </x:c>
    </x:row>
    <x:row r="45" ht="15" hidden="0">
      <x:c r="B45" s="6" t="s">
        <x:v>634</x:v>
      </x:c>
      <x:c r="C45" s="16" t="n">
        <x:f aca="0">C43-C44</x:f>
        <x:v>12834.43873567653</x:v>
      </x:c>
      <x:c r="D45" s="11" t="s">
        <x:v>604</x:v>
      </x:c>
      <x:c r="L45" s="4" t="s">
        <x:v>635</x:v>
      </x:c>
    </x:row>
    <x:row r="46" ht="15" hidden="0">
      <x:c r="B46" s="6" t="s">
        <x:v>636</x:v>
      </x:c>
      <x:c r="C46" s="22" t="n">
        <x:f aca="0">C43/C44-1</x:f>
        <x:v>0.2052652353236779</x:v>
      </x:c>
      <x:c r="L46" s="4" t="s">
        <x:v>637</x:v>
      </x:c>
    </x:row>
    <x:row r="47" ht="15" hidden="0">
      <x:c r="B47" s="6" t="s">
        <x:v>638</x:v>
      </x:c>
      <x:c r="C47" s="25" t="n">
        <x:f aca="0">C44/C43</x:f>
        <x:v>0.8296928930597145</x:v>
      </x:c>
      <x:c r="L47" s="4" t="s">
        <x:v>639</x:v>
      </x:c>
    </x:row>
    <x:row r="49" ht="19.5" hidden="0" customHeight="1">
      <x:c r="A49" s="14" t="s">
        <x:v>640</x:v>
      </x:c>
      <x:c r="B49" s="14"/>
      <x:c r="C49" s="14"/>
      <x:c r="D49" s="14"/>
      <x:c r="E49" s="14"/>
      <x:c r="F49" s="14"/>
      <x:c r="G49" s="14"/>
      <x:c r="H49" s="14"/>
      <x:c r="I49" s="14"/>
      <x:c r="J49" s="14"/>
      <x:c r="K49" s="14"/>
      <x:c r="L49" s="14"/>
    </x:row>
    <x:row r="50" ht="27.75" hidden="0" customHeight="1">
      <x:c r="A50" s="2"/>
      <x:c r="B50" s="2" t="s">
        <x:v>564</x:v>
      </x:c>
      <x:c r="C50" s="2" t="s">
        <x:v>587</x:v>
      </x:c>
      <x:c r="D50" s="2" t="s">
        <x:v>588</x:v>
      </x:c>
      <x:c r="E50" s="2" t="s">
        <x:v>589</x:v>
      </x:c>
      <x:c r="F50" s="2" t="s">
        <x:v>590</x:v>
      </x:c>
      <x:c r="G50" s="2" t="s">
        <x:v>591</x:v>
      </x:c>
      <x:c r="H50" s="2" t="s">
        <x:v>592</x:v>
      </x:c>
      <x:c r="I50" s="2" t="s">
        <x:v>593</x:v>
      </x:c>
      <x:c r="J50" s="2" t="s">
        <x:v>594</x:v>
      </x:c>
      <x:c r="K50" s="2"/>
      <x:c r="L50" s="2" t="s">
        <x:v>595</x:v>
      </x:c>
    </x:row>
    <x:row r="51" ht="23.850000381469727" hidden="0">
      <x:c r="B51" s="6" t="s">
        <x:v>641</x:v>
      </x:c>
      <x:c r="C51" s="26" t="n">
        <x:f aca="0">C19/$C$47</x:f>
        <x:v>0.6317716018314603</x:v>
      </x:c>
      <x:c r="D51" s="26" t="n">
        <x:f aca="0">D19/$C$47</x:f>
        <x:v>0.5116217862667033</x:v>
      </x:c>
      <x:c r="E51" s="26" t="n">
        <x:f aca="0">E19/$C$47</x:f>
        <x:v>0.5116217862667033</x:v>
      </x:c>
      <x:c r="F51" s="26" t="n">
        <x:f aca="0">F19/$C$47</x:f>
        <x:v>0.5116217862667033</x:v>
      </x:c>
      <x:c r="G51" s="26" t="n">
        <x:f aca="0">G19/$C$47</x:f>
        <x:v>0.5116217862667033</x:v>
      </x:c>
      <x:c r="H51" s="26" t="n">
        <x:f aca="0">H19/$C$47</x:f>
        <x:v>0.5116217862667033</x:v>
      </x:c>
      <x:c r="I51" s="26" t="n">
        <x:f aca="0">I19/$C$47</x:f>
        <x:v>0.5423693558956552</x:v>
      </x:c>
      <x:c r="J51" s="26" t="n">
        <x:f aca="0">J19/$C$47</x:f>
        <x:v>0.662895879428023</x:v>
      </x:c>
      <x:c r="L51" s="4" t="s">
        <x:v>642</x:v>
      </x:c>
    </x:row>
    <x:row r="52" ht="15" hidden="0">
      <x:c r="B52" s="6" t="s">
        <x:v>643</x:v>
      </x:c>
      <x:c r="C52" s="26" t="n">
        <x:f aca="0">1/($C$8*C51)</x:f>
        <x:v>2.6797358433604557</x:v>
      </x:c>
      <x:c r="D52" s="26" t="n">
        <x:f aca="0">1/($C$8*D51)</x:f>
        <x:v>3.3090479172098437</x:v>
      </x:c>
      <x:c r="E52" s="26" t="n">
        <x:f aca="0">1/($C$8*E51)</x:f>
        <x:v>3.3090479172098437</x:v>
      </x:c>
      <x:c r="F52" s="26" t="n">
        <x:f aca="0">1/($C$8*F51)</x:f>
        <x:v>3.3090479172098437</x:v>
      </x:c>
      <x:c r="G52" s="26" t="n">
        <x:f aca="0">1/($C$8*G51)</x:f>
        <x:v>3.3090479172098437</x:v>
      </x:c>
      <x:c r="H52" s="26" t="n">
        <x:f aca="0">1/($C$8*H51)</x:f>
        <x:v>3.3090479172098437</x:v>
      </x:c>
      <x:c r="I52" s="26" t="n">
        <x:f aca="0">1/($C$8*I51)</x:f>
        <x:v>3.121454019925716</x:v>
      </x:c>
      <x:c r="J52" s="26" t="n">
        <x:f aca="0">1/($C$8*J51)</x:f>
        <x:v>2.553916925393768</x:v>
      </x:c>
      <x:c r="L52" s="4" t="s">
        <x:v>644</x:v>
      </x:c>
    </x:row>
    <x:row r="53" ht="15" hidden="0">
      <x:c r="B53" s="11" t="s">
        <x:v>645</x:v>
      </x:c>
      <x:c r="C53" s="22" t="n">
        <x:f aca="0">1/C52</x:f>
        <x:v>0.37317111030838584</x:v>
      </x:c>
      <x:c r="D53" s="22" t="n">
        <x:f aca="0">1/D52</x:f>
        <x:v>0.30220172841836335</x:v>
      </x:c>
      <x:c r="E53" s="22" t="n">
        <x:f aca="0">1/E52</x:f>
        <x:v>0.30220172841836335</x:v>
      </x:c>
      <x:c r="F53" s="22" t="n">
        <x:f aca="0">1/F52</x:f>
        <x:v>0.30220172841836335</x:v>
      </x:c>
      <x:c r="G53" s="22" t="n">
        <x:f aca="0">1/G52</x:f>
        <x:v>0.30220172841836335</x:v>
      </x:c>
      <x:c r="H53" s="22" t="n">
        <x:f aca="0">1/H52</x:f>
        <x:v>0.30220172841836335</x:v>
      </x:c>
      <x:c r="I53" s="22" t="n">
        <x:f aca="0">1/I52</x:f>
        <x:v>0.3203635208516696</x:v>
      </x:c>
      <x:c r="J53" s="22" t="n">
        <x:f aca="0">1/J52</x:f>
        <x:v>0.3915554143742628</x:v>
      </x:c>
      <x:c r="L53" s="4" t="s">
        <x:v>646</x:v>
      </x:c>
    </x:row>
    <x:row r="55" ht="19.5" hidden="0" customHeight="1">
      <x:c r="A55" s="14" t="s">
        <x:v>647</x:v>
      </x:c>
      <x:c r="B55" s="14"/>
      <x:c r="C55" s="14"/>
      <x:c r="D55" s="14"/>
      <x:c r="E55" s="14"/>
      <x:c r="F55" s="14"/>
      <x:c r="G55" s="14"/>
      <x:c r="H55" s="14"/>
      <x:c r="I55" s="14"/>
      <x:c r="J55" s="14"/>
      <x:c r="K55" s="14"/>
      <x:c r="L55" s="14"/>
    </x:row>
    <x:row r="56" ht="27.75" hidden="0" customHeight="1">
      <x:c r="A56" s="2"/>
      <x:c r="B56" s="2" t="s">
        <x:v>564</x:v>
      </x:c>
      <x:c r="C56" s="2" t="s">
        <x:v>587</x:v>
      </x:c>
      <x:c r="D56" s="2" t="s">
        <x:v>588</x:v>
      </x:c>
      <x:c r="E56" s="2" t="s">
        <x:v>589</x:v>
      </x:c>
      <x:c r="F56" s="2" t="s">
        <x:v>590</x:v>
      </x:c>
      <x:c r="G56" s="2" t="s">
        <x:v>591</x:v>
      </x:c>
      <x:c r="H56" s="2" t="s">
        <x:v>592</x:v>
      </x:c>
      <x:c r="I56" s="2" t="s">
        <x:v>593</x:v>
      </x:c>
      <x:c r="J56" s="2" t="s">
        <x:v>594</x:v>
      </x:c>
      <x:c r="K56" s="2" t="s">
        <x:v>393</x:v>
      </x:c>
      <x:c r="L56" s="2" t="s">
        <x:v>595</x:v>
      </x:c>
    </x:row>
    <x:row r="57" ht="15" hidden="0">
      <x:c r="B57" s="6" t="s">
        <x:v>648</x:v>
      </x:c>
      <x:c r="C57" s="16" t="n">
        <x:f aca="0">C27*C52</x:f>
        <x:v>14514.038869525768</x:v>
      </x:c>
      <x:c r="D57" s="16" t="n">
        <x:f aca="0">D27*D52</x:f>
        <x:v>7511.538772066345</x:v>
      </x:c>
      <x:c r="E57" s="16" t="n">
        <x:f aca="0">E27*E52</x:f>
        <x:v>9013.846526479614</x:v>
      </x:c>
      <x:c r="F57" s="16" t="n">
        <x:f aca="0">F27*F52</x:f>
        <x:v>12784.63899005692</x:v>
      </x:c>
      <x:c r="G57" s="16" t="n">
        <x:f aca="0">G27*G52</x:f>
        <x:v>8412.923424714307</x:v>
      </x:c>
      <x:c r="H57" s="16" t="n">
        <x:f aca="0">H27*H52</x:f>
        <x:v>7511.538772066345</x:v>
      </x:c>
      <x:c r="I57" s="16" t="n">
        <x:f aca="0">I27*I52</x:f>
        <x:v>2777.5946450906995</x:v>
      </x:c>
      <x:c r="J57" s="16" t="n">
        <x:f aca="0">J27*J52</x:f>
        <x:v>0</x:v>
      </x:c>
      <x:c r="K57" s="21" t="n">
        <x:f aca="0">SUM(C57:J57)</x:f>
        <x:v>62526.11999999999</x:v>
      </x:c>
      <x:c r="L57" s="4" t="s">
        <x:v>649</x:v>
      </x:c>
    </x:row>
    <x:row r="58" ht="15" hidden="0">
      <x:c r="B58" s="6" t="s">
        <x:v>650</x:v>
      </x:c>
      <x:c r="K58" s="20" t="n">
        <x:f aca="0">C38</x:f>
        <x:v>62526.12</x:v>
      </x:c>
    </x:row>
    <x:row r="59" ht="15" hidden="0">
      <x:c r="B59" s="6" t="s">
        <x:v>627</x:v>
      </x:c>
      <x:c r="K59" s="24" t="n">
        <x:f aca="0">K57-K58</x:f>
        <x:v>-1.4551915228366852e-11</x:v>
      </x:c>
      <x:c r="L59" s="4" t="s">
        <x:v>651</x:v>
      </x:c>
    </x:row>
    <x:row r="61" ht="19.5" hidden="0" customHeight="1">
      <x:c r="A61" s="14" t="s">
        <x:v>652</x:v>
      </x:c>
      <x:c r="B61" s="14"/>
      <x:c r="C61" s="14"/>
      <x:c r="D61" s="14"/>
      <x:c r="E61" s="14"/>
      <x:c r="F61" s="14"/>
      <x:c r="G61" s="14"/>
      <x:c r="H61" s="14"/>
      <x:c r="I61" s="14"/>
      <x:c r="J61" s="14"/>
      <x:c r="K61" s="14"/>
      <x:c r="L61" s="14"/>
    </x:row>
    <x:row r="62" ht="27.75" hidden="0" customHeight="1">
      <x:c r="A62" s="2"/>
      <x:c r="B62" s="2" t="s">
        <x:v>653</x:v>
      </x:c>
      <x:c r="C62" s="2" t="s">
        <x:v>523</x:v>
      </x:c>
      <x:c r="D62" s="2" t="s">
        <x:v>524</x:v>
      </x:c>
      <x:c r="E62" s="2"/>
      <x:c r="F62" s="2"/>
      <x:c r="G62" s="2"/>
      <x:c r="H62" s="2"/>
      <x:c r="I62" s="2"/>
      <x:c r="J62" s="2"/>
      <x:c r="K62" s="2"/>
      <x:c r="L62" s="2" t="s">
        <x:v>595</x:v>
      </x:c>
    </x:row>
    <x:row r="63" ht="23.850000381469727" hidden="0">
      <x:c r="B63" s="6" t="s">
        <x:v>654</x:v>
      </x:c>
      <x:c r="C63" s="16" t="n">
        <x:f aca="0">SUMIFS('Raw Material'!$G$7:$G$312,'Raw Material'!$J$7:$J$312,"30 UP",'Raw Material'!$K$7:$K$312,"GRADE B")</x:f>
        <x:v>5606</x:v>
      </x:c>
      <x:c r="D63" s="11" t="s">
        <x:v>567</x:v>
      </x:c>
      <x:c r="L63" s="4" t="s">
        <x:v>655</x:v>
      </x:c>
    </x:row>
    <x:row r="64" ht="23.850000381469727" hidden="0">
      <x:c r="B64" s="6" t="s">
        <x:v>656</x:v>
      </x:c>
      <x:c r="C64" s="16" t="n">
        <x:f aca="0">SUMIFS('Raw Material'!$G$7:$G$312,'Raw Material'!$J$7:$J$312,"30 UP",'Raw Material'!$K$7:$K$312,"GRADE C")</x:f>
        <x:v>39645</x:v>
      </x:c>
      <x:c r="D64" s="11" t="s">
        <x:v>567</x:v>
      </x:c>
      <x:c r="L64" s="4" t="s">
        <x:v>655</x:v>
      </x:c>
    </x:row>
    <x:row r="65" ht="23.850000381469727" hidden="0">
      <x:c r="B65" s="6" t="s">
        <x:v>657</x:v>
      </x:c>
      <x:c r="C65" s="16" t="n">
        <x:f aca="0">SUMIFS('Raw Material'!$G$7:$G$312,'Raw Material'!$J$7:$J$312,"20 UP",'Raw Material'!$K$7:$K$312,"GRADE C")</x:f>
        <x:v>6076</x:v>
      </x:c>
      <x:c r="D65" s="11" t="s">
        <x:v>567</x:v>
      </x:c>
      <x:c r="L65" s="4" t="s">
        <x:v>655</x:v>
      </x:c>
    </x:row>
    <x:row r="66" ht="23.850000381469727" hidden="0">
      <x:c r="B66" s="6" t="s">
        <x:v>658</x:v>
      </x:c>
      <x:c r="C66" s="16" t="n">
        <x:f aca="0">SUMIFS('Raw Material'!$G$7:$G$312,'Raw Material'!$J$7:$J$312,"14 UP",'Raw Material'!$K$7:$K$312,"GRADE C")</x:f>
        <x:v>1850</x:v>
      </x:c>
      <x:c r="D66" s="11" t="s">
        <x:v>567</x:v>
      </x:c>
      <x:c r="L66" s="4" t="s">
        <x:v>655</x:v>
      </x:c>
    </x:row>
    <x:row r="67" ht="15" hidden="0">
      <x:c r="B67" s="6" t="s">
        <x:v>659</x:v>
      </x:c>
      <x:c r="C67" s="21" t="n">
        <x:f aca="0">SUM(C63:C66)</x:f>
        <x:v>53177</x:v>
      </x:c>
      <x:c r="D67" s="11" t="s">
        <x:v>567</x:v>
      </x:c>
      <x:c r="L67" s="4" t="s">
        <x:v>660</x:v>
      </x:c>
    </x:row>
    <x:row r="69" ht="19.5" hidden="0" customHeight="1">
      <x:c r="A69" s="14" t="s">
        <x:v>661</x:v>
      </x:c>
      <x:c r="B69" s="14"/>
      <x:c r="C69" s="14"/>
      <x:c r="D69" s="14"/>
      <x:c r="E69" s="14"/>
      <x:c r="F69" s="14"/>
      <x:c r="G69" s="14"/>
      <x:c r="H69" s="14"/>
      <x:c r="I69" s="14"/>
      <x:c r="J69" s="14"/>
      <x:c r="K69" s="14"/>
      <x:c r="L69" s="14"/>
    </x:row>
    <x:row r="70" ht="27.75" hidden="0" customHeight="1">
      <x:c r="A70" s="2"/>
      <x:c r="B70" s="2" t="s">
        <x:v>564</x:v>
      </x:c>
      <x:c r="C70" s="2" t="s">
        <x:v>523</x:v>
      </x:c>
      <x:c r="D70" s="2" t="s">
        <x:v>524</x:v>
      </x:c>
      <x:c r="E70" s="2"/>
      <x:c r="F70" s="2"/>
      <x:c r="G70" s="2"/>
      <x:c r="H70" s="2"/>
      <x:c r="I70" s="2"/>
      <x:c r="J70" s="2"/>
      <x:c r="K70" s="2"/>
      <x:c r="L70" s="2" t="s">
        <x:v>662</x:v>
      </x:c>
    </x:row>
    <x:row r="71" ht="15" hidden="0">
      <x:c r="B71" s="6" t="s">
        <x:v>663</x:v>
      </x:c>
      <x:c r="C71" s="15" t="n">
        <x:f aca="0">C67</x:f>
        <x:v>53177</x:v>
      </x:c>
      <x:c r="D71" s="11" t="s">
        <x:v>604</x:v>
      </x:c>
      <x:c r="L71" s="4" t="s">
        <x:v>664</x:v>
      </x:c>
    </x:row>
    <x:row r="72" ht="15" hidden="0">
      <x:c r="B72" s="6" t="s">
        <x:v>665</x:v>
      </x:c>
      <x:c r="C72" s="15" t="n">
        <x:f aca="0">K57</x:f>
        <x:v>62526.11999999999</x:v>
      </x:c>
      <x:c r="D72" s="11" t="s">
        <x:v>604</x:v>
      </x:c>
      <x:c r="L72" s="4" t="s">
        <x:v>666</x:v>
      </x:c>
    </x:row>
    <x:row r="73" ht="23.850000381469727" hidden="0">
      <x:c r="B73" s="6" t="s">
        <x:v>667</x:v>
      </x:c>
      <x:c r="C73" s="17" t="n">
        <x:f aca="0">C71/C72</x:f>
        <x:v>0.8504765688323538</x:v>
      </x:c>
      <x:c r="D73" s="11" t="s">
        <x:v>527</x:v>
      </x:c>
      <x:c r="L73" s="4" t="s">
        <x:v>668</x:v>
      </x:c>
    </x:row>
    <x:row r="74" ht="15" hidden="0">
      <x:c r="B74" s="6" t="s">
        <x:v>669</x:v>
      </x:c>
      <x:c r="C74" s="15" t="n">
        <x:f aca="0">C72-C71</x:f>
        <x:v>9349.119999999988</x:v>
      </x:c>
      <x:c r="D74" s="11" t="s">
        <x:v>604</x:v>
      </x:c>
      <x:c r="L74" s="4" t="s">
        <x:v>670</x:v>
      </x:c>
    </x:row>
    <x:row r="75" ht="23.850000381469727" hidden="0">
      <x:c r="B75" s="11" t="s">
        <x:v>671</x:v>
      </x:c>
      <x:c r="C75" s="27" t="n">
        <x:f aca="0">C71/A1_Kendali!B5</x:f>
        <x:v>11.81711111111111</x:v>
      </x:c>
      <x:c r="D75" s="11" t="s">
        <x:v>672</x:v>
      </x:c>
      <x:c r="L75" s="4" t="s">
        <x:v>673</x:v>
      </x:c>
    </x:row>
    <x:row r="77" ht="19.5" hidden="0" customHeight="1">
      <x:c r="A77" s="14" t="s">
        <x:v>674</x:v>
      </x:c>
      <x:c r="B77" s="14"/>
      <x:c r="C77" s="14"/>
      <x:c r="D77" s="14"/>
      <x:c r="E77" s="14"/>
      <x:c r="F77" s="14"/>
      <x:c r="G77" s="14"/>
      <x:c r="H77" s="14"/>
      <x:c r="I77" s="14"/>
      <x:c r="J77" s="14"/>
      <x:c r="K77" s="14"/>
      <x:c r="L77" s="14"/>
    </x:row>
    <x:row r="78" ht="27.75" hidden="0" customHeight="1">
      <x:c r="A78" s="2"/>
      <x:c r="B78" s="2" t="s">
        <x:v>675</x:v>
      </x:c>
      <x:c r="C78" s="2" t="s">
        <x:v>587</x:v>
      </x:c>
      <x:c r="D78" s="2" t="s">
        <x:v>588</x:v>
      </x:c>
      <x:c r="E78" s="2" t="s">
        <x:v>589</x:v>
      </x:c>
      <x:c r="F78" s="2" t="s">
        <x:v>590</x:v>
      </x:c>
      <x:c r="G78" s="2" t="s">
        <x:v>591</x:v>
      </x:c>
      <x:c r="H78" s="2" t="s">
        <x:v>592</x:v>
      </x:c>
      <x:c r="I78" s="2" t="s">
        <x:v>593</x:v>
      </x:c>
      <x:c r="J78" s="2" t="s">
        <x:v>594</x:v>
      </x:c>
      <x:c r="K78" s="2"/>
      <x:c r="L78" s="2" t="s">
        <x:v>595</x:v>
      </x:c>
    </x:row>
    <x:row r="79" ht="15" hidden="0">
      <x:c r="B79" s="6" t="s">
        <x:v>676</x:v>
      </x:c>
      <x:c r="C79" s="28" t="n">
        <x:f aca="0">Price!C6</x:f>
        <x:v>6.75</x:v>
      </x:c>
      <x:c r="D79" s="28" t="n">
        <x:f aca="0">Price!C7</x:f>
        <x:v>3.25</x:v>
      </x:c>
      <x:c r="E79" s="28" t="n">
        <x:f aca="0">Price!C8</x:f>
        <x:v>3.7</x:v>
      </x:c>
      <x:c r="F79" s="28" t="n">
        <x:f aca="0">Price!C9</x:f>
        <x:v>3.8</x:v>
      </x:c>
      <x:c r="G79" s="28" t="n">
        <x:f aca="0">Price!C10</x:f>
        <x:v>3.8</x:v>
      </x:c>
      <x:c r="H79" s="28" t="n">
        <x:f aca="0">Price!C11</x:f>
        <x:v>3.5</x:v>
      </x:c>
      <x:c r="I79" s="28" t="n">
        <x:f aca="0">Price!C12</x:f>
        <x:v>2.5</x:v>
      </x:c>
      <x:c r="J79" s="28" t="n">
        <x:f aca="0">A1_Kendali!B10</x:f>
        <x:v>2</x:v>
      </x:c>
      <x:c r="L79" s="4" t="s">
        <x:v>677</x:v>
      </x:c>
    </x:row>
    <x:row r="80" ht="15" hidden="0">
      <x:c r="B80" s="6" t="s">
        <x:v>551</x:v>
      </x:c>
      <x:c r="C80" s="29" t="n">
        <x:f aca="0">A1_Kendali!B13</x:f>
        <x:v>16481</x:v>
      </x:c>
      <x:c r="L80" s="4" t="s">
        <x:v>678</x:v>
      </x:c>
    </x:row>
    <x:row r="81" ht="15" hidden="0">
      <x:c r="B81" s="6" t="s">
        <x:v>679</x:v>
      </x:c>
      <x:c r="C81" s="15" t="n">
        <x:f aca="0">C79*A1_Kendali!$B$14*$C$80</x:f>
        <x:v>245257.10165172914</x:v>
      </x:c>
      <x:c r="D81" s="15" t="n">
        <x:f aca="0">D79*A1_Kendali!$B$14*$C$80</x:f>
        <x:v>118086.75264712886</x:v>
      </x:c>
      <x:c r="E81" s="15" t="n">
        <x:f aca="0">E79*A1_Kendali!$B$14*$C$80</x:f>
        <x:v>134437.22609057746</x:v>
      </x:c>
      <x:c r="F81" s="15" t="n">
        <x:f aca="0">F79*A1_Kendali!$B$14*$C$80</x:f>
        <x:v>138070.66463356605</x:v>
      </x:c>
      <x:c r="G81" s="15" t="n">
        <x:f aca="0">G79*A1_Kendali!$B$14*$C$80</x:f>
        <x:v>138070.66463356605</x:v>
      </x:c>
      <x:c r="H81" s="15" t="n">
        <x:f aca="0">H79*A1_Kendali!$B$14*$C$80</x:f>
        <x:v>127170.3490046003</x:v>
      </x:c>
      <x:c r="I81" s="15" t="n">
        <x:f aca="0">I79*A1_Kendali!$B$14*$C$80</x:f>
        <x:v>90835.96357471451</x:v>
      </x:c>
      <x:c r="J81" s="15" t="n">
        <x:f aca="0">J79*A1_Kendali!$B$14*$C$80</x:f>
        <x:v>72668.7708597716</x:v>
      </x:c>
      <x:c r="L81" s="4" t="s">
        <x:v>680</x:v>
      </x:c>
    </x:row>
    <x:row r="82" ht="15" hidden="0">
      <x:c r="B82" s="6" t="s">
        <x:v>681</x:v>
      </x:c>
      <x:c r="C82" s="15" t="n">
        <x:f aca="0">Cost!F27/Cost!D27</x:f>
        <x:v>51098.74847503731</x:v>
      </x:c>
      <x:c r="L82" s="4" t="s">
        <x:v>682</x:v>
      </x:c>
    </x:row>
    <x:row r="83" ht="15" hidden="0">
      <x:c r="B83" s="6" t="s">
        <x:v>683</x:v>
      </x:c>
      <x:c r="C83" s="15" t="n">
        <x:f aca="0">(Cost!I25+Cost!J25+Cost!K25)/Cost!D27</x:f>
        <x:v>15187.455226711652</x:v>
      </x:c>
      <x:c r="L83" s="4" t="s">
        <x:v>684</x:v>
      </x:c>
    </x:row>
    <x:row r="84" ht="15" hidden="0">
      <x:c r="B84" s="6" t="s">
        <x:v>685</x:v>
      </x:c>
      <x:c r="C84" s="15" t="n">
        <x:f aca="0">Cost!O64/Cost!M64</x:f>
        <x:v>28774.999782607214</x:v>
      </x:c>
      <x:c r="L84" s="4" t="s">
        <x:v>686</x:v>
      </x:c>
    </x:row>
    <x:row r="85" ht="15" hidden="0">
      <x:c r="B85" s="6" t="s">
        <x:v>687</x:v>
      </x:c>
      <x:c r="C85" s="15" t="n">
        <x:f aca="0">-C52*$C$82</x:f>
        <x:v>-136931.1478394179</x:v>
      </x:c>
      <x:c r="D85" s="15" t="n">
        <x:f aca="0">-D52*$C$82</x:f>
        <x:v>-169088.20721335188</x:v>
      </x:c>
      <x:c r="E85" s="15" t="n">
        <x:f aca="0">-E52*$C$82</x:f>
        <x:v>-169088.20721335188</x:v>
      </x:c>
      <x:c r="F85" s="15" t="n">
        <x:f aca="0">-F52*$C$82</x:f>
        <x:v>-169088.20721335188</x:v>
      </x:c>
      <x:c r="G85" s="15" t="n">
        <x:f aca="0">-G52*$C$82</x:f>
        <x:v>-169088.20721335188</x:v>
      </x:c>
      <x:c r="H85" s="15" t="n">
        <x:f aca="0">-H52*$C$82</x:f>
        <x:v>-169088.20721335188</x:v>
      </x:c>
      <x:c r="I85" s="15" t="n">
        <x:f aca="0">-I52*$C$82</x:f>
        <x:v>-159502.39384057827</x:v>
      </x:c>
      <x:c r="J85" s="15" t="n">
        <x:f aca="0">-J52*$C$82</x:f>
        <x:v>-130501.95859683678</x:v>
      </x:c>
      <x:c r="L85" s="4" t="s">
        <x:v>688</x:v>
      </x:c>
    </x:row>
    <x:row r="86" ht="15" hidden="0">
      <x:c r="B86" s="6" t="s">
        <x:v>689</x:v>
      </x:c>
      <x:c r="C86" s="15" t="n">
        <x:f aca="0">-C52*$C$83</x:f>
        <x:v>-40698.36814045131</x:v>
      </x:c>
      <x:c r="D86" s="15" t="n">
        <x:f aca="0">-D52*$C$83</x:f>
        <x:v>-50256.01708566795</x:v>
      </x:c>
      <x:c r="E86" s="15" t="n">
        <x:f aca="0">-E52*$C$83</x:f>
        <x:v>-50256.01708566795</x:v>
      </x:c>
      <x:c r="F86" s="15" t="n">
        <x:f aca="0">-F52*$C$83</x:f>
        <x:v>-50256.01708566795</x:v>
      </x:c>
      <x:c r="G86" s="15" t="n">
        <x:f aca="0">-G52*$C$83</x:f>
        <x:v>-50256.01708566795</x:v>
      </x:c>
      <x:c r="H86" s="15" t="n">
        <x:f aca="0">-H52*$C$83</x:f>
        <x:v>-50256.01708566795</x:v>
      </x:c>
      <x:c r="I86" s="15" t="n">
        <x:f aca="0">-I52*$C$83</x:f>
        <x:v>-47406.94316986092</x:v>
      </x:c>
      <x:c r="J86" s="15" t="n">
        <x:f aca="0">-J52*$C$83</x:f>
        <x:v>-38787.49895715893</x:v>
      </x:c>
      <x:c r="L86" s="4" t="s">
        <x:v>690</x:v>
      </x:c>
    </x:row>
    <x:row r="87" ht="23.850000381469727" hidden="0">
      <x:c r="B87" s="6" t="s">
        <x:v>691</x:v>
      </x:c>
      <x:c r="C87" s="15" t="n">
        <x:f aca="0">(C52-1)*$C$84</x:f>
        <x:v>48334.39852753466</x:v>
      </x:c>
      <x:c r="D87" s="15" t="n">
        <x:f aca="0">(D52-1)*$C$84</x:f>
        <x:v>66442.85331574289</x:v>
      </x:c>
      <x:c r="E87" s="15" t="n">
        <x:f aca="0">(E52-1)*$C$84</x:f>
        <x:v>66442.85331574289</x:v>
      </x:c>
      <x:c r="F87" s="15" t="n">
        <x:f aca="0">(F52-1)*$C$84</x:f>
        <x:v>66442.85331574289</x:v>
      </x:c>
      <x:c r="G87" s="15" t="n">
        <x:f aca="0">(G52-1)*$C$84</x:f>
        <x:v>66442.85331574289</x:v>
      </x:c>
      <x:c r="H87" s="15" t="n">
        <x:f aca="0">(H52-1)*$C$84</x:f>
        <x:v>66442.85331574289</x:v>
      </x:c>
      <x:c r="I87" s="15" t="n">
        <x:f aca="0">(I52-1)*$C$84</x:f>
        <x:v>61044.83896217368</x:v>
      </x:c>
      <x:c r="J87" s="15" t="n">
        <x:f aca="0">(J52-1)*$C$84</x:f>
        <x:v>44713.95919039534</x:v>
      </x:c>
      <x:c r="L87" s="4" t="s">
        <x:v>692</x:v>
      </x:c>
    </x:row>
    <x:row r="88" ht="15" hidden="0">
      <x:c r="B88" s="6" t="s">
        <x:v>693</x:v>
      </x:c>
      <x:c r="C88" s="29" t="n">
        <x:f aca="0">-A3_Energi!C47</x:f>
        <x:v>-709.1273883666129</x:v>
      </x:c>
      <x:c r="D88" s="29" t="n">
        <x:f aca="0">-A3_Energi!D47</x:f>
        <x:v>-471.9922890729659</x:v>
      </x:c>
      <x:c r="E88" s="29" t="n">
        <x:f aca="0">-A3_Energi!E47</x:f>
        <x:v>-462.2541084361888</x:v>
      </x:c>
      <x:c r="F88" s="29" t="n">
        <x:f aca="0">-A3_Energi!F47</x:f>
        <x:v>-456.31780691315043</x:v>
      </x:c>
      <x:c r="G88" s="29" t="n">
        <x:f aca="0">-A3_Energi!G47</x:f>
        <x:v>-452.7434845172366</x:v>
      </x:c>
      <x:c r="H88" s="29" t="n">
        <x:f aca="0">-A3_Energi!H47</x:f>
        <x:v>-342.0474884124983</x:v>
      </x:c>
      <x:c r="I88" s="29" t="n">
        <x:f aca="0">-A3_Energi!I47</x:f>
        <x:v>-519.8992751138304</x:v>
      </x:c>
      <x:c r="J88" s="29" t="n">
        <x:f aca="0">-A3_Energi!J47</x:f>
        <x:v>-296.4045923850848</x:v>
      </x:c>
      <x:c r="L88" s="4" t="s">
        <x:v>694</x:v>
      </x:c>
    </x:row>
    <x:row r="89" ht="15" hidden="0">
      <x:c r="B89" s="6" t="s">
        <x:v>695</x:v>
      </x:c>
      <x:c r="C89" s="21" t="n">
        <x:f aca="0">C81+C85+C86+C87+C88</x:f>
        <x:v>115252.85681102794</x:v>
      </x:c>
      <x:c r="D89" s="21" t="n">
        <x:f aca="0">D81+D85+D86+D87+D88</x:f>
        <x:v>-35286.610625221045</x:v>
      </x:c>
      <x:c r="E89" s="21" t="n">
        <x:f aca="0">E81+E85+E86+E87+E88</x:f>
        <x:v>-18926.399001135665</x:v>
      </x:c>
      <x:c r="F89" s="21" t="n">
        <x:f aca="0">F81+F85+F86+F87+F88</x:f>
        <x:v>-15287.02415662404</x:v>
      </x:c>
      <x:c r="G89" s="21" t="n">
        <x:f aca="0">G81+G85+G86+G87+G88</x:f>
        <x:v>-15283.449834228128</x:v>
      </x:c>
      <x:c r="H89" s="21" t="n">
        <x:f aca="0">H81+H85+H86+H87+H88</x:f>
        <x:v>-26073.06946708914</x:v>
      </x:c>
      <x:c r="I89" s="21" t="n">
        <x:f aca="0">I81+I85+I86+I87+I88</x:f>
        <x:v>-55548.43374866482</x:v>
      </x:c>
      <x:c r="J89" s="21" t="n">
        <x:f aca="0">J81+J85+J86+J87+J88</x:f>
        <x:v>-52203.13209621385</x:v>
      </x:c>
      <x:c r="L89" s="4" t="s">
        <x:v>696</x:v>
      </x:c>
    </x:row>
    <x:row r="90" ht="15" hidden="0">
      <x:c r="B90" s="6" t="s">
        <x:v>697</x:v>
      </x:c>
      <x:c r="C90" s="21" t="n">
        <x:f aca="0">C89*C51</x:f>
        <x:v>72813.48196315505</x:v>
      </x:c>
      <x:c r="D90" s="21" t="n">
        <x:f aca="0">D89*D51</x:f>
        <x:v>-18053.398759373224</x:v>
      </x:c>
      <x:c r="E90" s="21" t="n">
        <x:f aca="0">E89*E51</x:f>
        <x:v>-9683.158064557378</x:v>
      </x:c>
      <x:c r="F90" s="21" t="n">
        <x:f aca="0">F89*F51</x:f>
        <x:v>-7821.1746057142345</x:v>
      </x:c>
      <x:c r="G90" s="21" t="n">
        <x:f aca="0">G89*G51</x:f>
        <x:v>-7819.345904505345</x:v>
      </x:c>
      <x:c r="H90" s="21" t="n">
        <x:f aca="0">H89*H51</x:f>
        <x:v>-13339.550374207987</x:v>
      </x:c>
      <x:c r="I90" s="21" t="n">
        <x:f aca="0">I89*I51</x:f>
        <x:v>-30127.768233275812</x:v>
      </x:c>
      <x:c r="J90" s="21" t="n">
        <x:f aca="0">J89*J51</x:f>
        <x:v>-34605.241159816935</x:v>
      </x:c>
      <x:c r="L90" s="4" t="s">
        <x:v>698</x:v>
      </x:c>
    </x:row>
    <x:row r="91" ht="15" hidden="0">
      <x:c r="B91" s="6" t="s">
        <x:v>699</x:v>
      </x:c>
      <x:c r="K91" s="20" t="n">
        <x:f aca="0">SUMPRODUCT(C89:I89,C27:I27)</x:f>
        <x:v>286044952.97285146</x:v>
      </x:c>
    </x:row>
    <x:row r="92" ht="15" hidden="0">
      <x:c r="B92" s="6" t="s">
        <x:v>700</x:v>
      </x:c>
      <x:c r="K92" s="20" t="n">
        <x:f aca="0">Cost!G119</x:f>
        <x:v>293469606</x:v>
      </x:c>
    </x:row>
    <x:row r="93" ht="15" hidden="0">
      <x:c r="B93" s="6" t="s">
        <x:v>627</x:v>
      </x:c>
      <x:c r="K93" s="30" t="n">
        <x:f aca="0">K91/K92-1</x:f>
        <x:v>-0.02529956382313925</x:v>
      </x:c>
      <x:c r="L93" s="4" t="s">
        <x:v>701</x:v>
      </x:c>
    </x:row>
    <x:row r="95" ht="15" hidden="0">
      <x:c r="B95" s="31" t="s">
        <x:v>702</x:v>
      </x:c>
    </x:row>
    <x:row r="96" ht="30" hidden="0" customHeight="1">
      <x:c r="B96" s="4" t="s">
        <x:v>703</x:v>
      </x:c>
      <x:c r="C96" s="4"/>
      <x:c r="D96" s="4"/>
      <x:c r="E96" s="4"/>
      <x:c r="F96" s="4"/>
      <x:c r="G96" s="4"/>
      <x:c r="H96" s="4"/>
      <x:c r="I96" s="4"/>
      <x:c r="J96" s="4"/>
      <x:c r="K96" s="4"/>
      <x:c r="L96" s="4"/>
    </x:row>
    <x:row r="97" ht="30" hidden="0" customHeight="1">
      <x:c r="B97" s="4" t="s">
        <x:v>704</x:v>
      </x:c>
      <x:c r="C97" s="4"/>
      <x:c r="D97" s="4"/>
      <x:c r="E97" s="4"/>
      <x:c r="F97" s="4"/>
      <x:c r="G97" s="4"/>
      <x:c r="H97" s="4"/>
      <x:c r="I97" s="4"/>
      <x:c r="J97" s="4"/>
      <x:c r="K97" s="4"/>
      <x:c r="L97" s="4"/>
    </x:row>
    <x:row r="98" ht="30" hidden="0" customHeight="1">
      <x:c r="B98" s="4" t="s">
        <x:v>705</x:v>
      </x:c>
      <x:c r="C98" s="4"/>
      <x:c r="D98" s="4"/>
      <x:c r="E98" s="4"/>
      <x:c r="F98" s="4"/>
      <x:c r="G98" s="4"/>
      <x:c r="H98" s="4"/>
      <x:c r="I98" s="4"/>
      <x:c r="J98" s="4"/>
      <x:c r="K98" s="4"/>
      <x:c r="L98" s="4"/>
    </x:row>
  </x:sheetData>
  <x:mergeCells>
    <x:mergeCell ref="A1:L1"/>
    <x:mergeCell ref="A4:L4"/>
    <x:mergeCell ref="A10:L10"/>
    <x:mergeCell ref="A25:L25"/>
    <x:mergeCell ref="A32:L32"/>
    <x:mergeCell ref="A41:L41"/>
    <x:mergeCell ref="A49:L49"/>
    <x:mergeCell ref="A55:L55"/>
    <x:mergeCell ref="A61:L61"/>
    <x:mergeCell ref="A69:L69"/>
    <x:mergeCell ref="A77:L77"/>
    <x:mergeCell ref="B96:L96"/>
    <x:mergeCell ref="B97:L97"/>
    <x:mergeCell ref="B98:L98"/>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8.6796875" defaultRowHeight="15"/>
  <x:cols>
    <x:col min="1" max="1" width="6" hidden="0" customWidth="1"/>
    <x:col min="2" max="2" width="34" hidden="0" customWidth="1"/>
    <x:col min="3" max="10" width="13" hidden="0" customWidth="1"/>
    <x:col min="11" max="11" width="14" hidden="0" customWidth="1"/>
    <x:col min="12" max="12" width="56" hidden="0" customWidth="1"/>
  </x:cols>
  <x:sheetData>
    <x:row r="1" ht="21.75" hidden="0" customHeight="1">
      <x:c r="A1" s="1" t="s">
        <x:v>706</x:v>
      </x:c>
      <x:c r="B1" s="1"/>
      <x:c r="C1" s="1"/>
      <x:c r="D1" s="1"/>
      <x:c r="E1" s="1"/>
      <x:c r="F1" s="1"/>
      <x:c r="G1" s="1"/>
      <x:c r="H1" s="1"/>
      <x:c r="I1" s="1"/>
      <x:c r="J1" s="1"/>
      <x:c r="K1" s="1"/>
      <x:c r="L1" s="1"/>
    </x:row>
    <x:row r="3" ht="19.5" hidden="0" customHeight="1">
      <x:c r="A3" s="14" t="s">
        <x:v>707</x:v>
      </x:c>
      <x:c r="B3" s="14"/>
      <x:c r="C3" s="14"/>
      <x:c r="D3" s="14"/>
      <x:c r="E3" s="14"/>
      <x:c r="F3" s="14"/>
      <x:c r="G3" s="14"/>
      <x:c r="H3" s="14"/>
      <x:c r="I3" s="14"/>
      <x:c r="J3" s="14"/>
      <x:c r="K3" s="14"/>
      <x:c r="L3" s="14"/>
    </x:row>
    <x:row r="4" ht="27.75" hidden="0" customHeight="1">
      <x:c r="A4" s="2" t="s">
        <x:v>708</x:v>
      </x:c>
      <x:c r="B4" s="2" t="s">
        <x:v>522</x:v>
      </x:c>
      <x:c r="C4" s="2" t="s">
        <x:v>523</x:v>
      </x:c>
      <x:c r="D4" s="2" t="s">
        <x:v>524</x:v>
      </x:c>
      <x:c r="E4" s="2"/>
      <x:c r="F4" s="2"/>
      <x:c r="G4" s="2"/>
      <x:c r="H4" s="2"/>
      <x:c r="I4" s="2"/>
      <x:c r="J4" s="2"/>
      <x:c r="K4" s="2"/>
      <x:c r="L4" s="2" t="s">
        <x:v>709</x:v>
      </x:c>
    </x:row>
    <x:row r="5" ht="15" hidden="0">
      <x:c r="A5" s="6" t="s">
        <x:v>710</x:v>
      </x:c>
      <x:c r="B5" s="11" t="s">
        <x:v>711</x:v>
      </x:c>
      <x:c r="C5" s="10" t="n">
        <x:v>30</x:v>
      </x:c>
      <x:c r="D5" s="11" t="s">
        <x:v>712</x:v>
      </x:c>
      <x:c r="L5" s="4" t="s">
        <x:v>713</x:v>
      </x:c>
    </x:row>
    <x:row r="6" ht="15" hidden="0">
      <x:c r="A6" s="6" t="s">
        <x:v>714</x:v>
      </x:c>
      <x:c r="B6" s="11" t="s">
        <x:v>715</x:v>
      </x:c>
      <x:c r="C6" s="10" t="n">
        <x:v>5.5</x:v>
      </x:c>
      <x:c r="D6" s="11" t="s">
        <x:v>712</x:v>
      </x:c>
      <x:c r="L6" s="4" t="s">
        <x:v>716</x:v>
      </x:c>
    </x:row>
    <x:row r="7" ht="15" hidden="0">
      <x:c r="A7" s="6" t="s">
        <x:v>717</x:v>
      </x:c>
      <x:c r="B7" s="11" t="s">
        <x:v>718</x:v>
      </x:c>
      <x:c r="C7" s="10" t="n">
        <x:v>1.2</x:v>
      </x:c>
      <x:c r="D7" s="11" t="s">
        <x:v>719</x:v>
      </x:c>
      <x:c r="L7" s="4" t="s">
        <x:v>720</x:v>
      </x:c>
    </x:row>
    <x:row r="8" ht="15" hidden="0">
      <x:c r="A8" s="6" t="s">
        <x:v>721</x:v>
      </x:c>
      <x:c r="B8" s="11" t="s">
        <x:v>722</x:v>
      </x:c>
      <x:c r="C8" s="10" t="n">
        <x:v>0.5</x:v>
      </x:c>
      <x:c r="D8" s="11" t="s">
        <x:v>495</x:v>
      </x:c>
      <x:c r="L8" s="4" t="s">
        <x:v>723</x:v>
      </x:c>
    </x:row>
    <x:row r="9" ht="15" hidden="0">
      <x:c r="A9" s="6" t="s">
        <x:v>724</x:v>
      </x:c>
      <x:c r="B9" s="11" t="s">
        <x:v>725</x:v>
      </x:c>
      <x:c r="C9" s="10" t="n">
        <x:v>3.7</x:v>
      </x:c>
      <x:c r="D9" s="11" t="s">
        <x:v>712</x:v>
      </x:c>
      <x:c r="L9" s="4" t="s">
        <x:v>726</x:v>
      </x:c>
    </x:row>
    <x:row r="10" ht="15" hidden="0">
      <x:c r="A10" s="6" t="s">
        <x:v>727</x:v>
      </x:c>
      <x:c r="B10" s="11" t="s">
        <x:v>728</x:v>
      </x:c>
      <x:c r="C10" s="10" t="n">
        <x:v>2000</x:v>
      </x:c>
      <x:c r="D10" s="11" t="s">
        <x:v>729</x:v>
      </x:c>
      <x:c r="L10" s="4" t="s">
        <x:v>720</x:v>
      </x:c>
    </x:row>
    <x:row r="11" ht="15" hidden="0">
      <x:c r="A11" s="6" t="s">
        <x:v>730</x:v>
      </x:c>
      <x:c r="B11" s="11" t="s">
        <x:v>731</x:v>
      </x:c>
      <x:c r="C11" s="10" t="n">
        <x:v>2</x:v>
      </x:c>
      <x:c r="D11" s="11" t="s">
        <x:v>712</x:v>
      </x:c>
      <x:c r="L11" s="4" t="s">
        <x:v>550</x:v>
      </x:c>
    </x:row>
    <x:row r="12" ht="15" hidden="0">
      <x:c r="A12" s="6" t="s">
        <x:v>732</x:v>
      </x:c>
      <x:c r="B12" s="11" t="s">
        <x:v>733</x:v>
      </x:c>
      <x:c r="C12" s="10" t="n">
        <x:v>0.25</x:v>
      </x:c>
      <x:c r="D12" s="11" t="s">
        <x:v>734</x:v>
      </x:c>
      <x:c r="L12" s="4" t="s">
        <x:v>550</x:v>
      </x:c>
    </x:row>
    <x:row r="13" ht="15" hidden="0">
      <x:c r="A13" s="6" t="s">
        <x:v>735</x:v>
      </x:c>
      <x:c r="B13" s="11" t="s">
        <x:v>736</x:v>
      </x:c>
      <x:c r="C13" s="10" t="n">
        <x:v>1.5</x:v>
      </x:c>
      <x:c r="D13" s="11" t="s">
        <x:v>712</x:v>
      </x:c>
      <x:c r="L13" s="4" t="s">
        <x:v>550</x:v>
      </x:c>
    </x:row>
    <x:row r="14" ht="15" hidden="0">
      <x:c r="A14" s="6" t="s">
        <x:v>737</x:v>
      </x:c>
      <x:c r="B14" s="11" t="s">
        <x:v>738</x:v>
      </x:c>
      <x:c r="C14" s="10" t="n">
        <x:v>300</x:v>
      </x:c>
      <x:c r="D14" s="11" t="s">
        <x:v>729</x:v>
      </x:c>
      <x:c r="L14" s="4" t="s">
        <x:v>550</x:v>
      </x:c>
    </x:row>
    <x:row r="15" ht="15" hidden="0">
      <x:c r="A15" s="6" t="s">
        <x:v>739</x:v>
      </x:c>
      <x:c r="B15" s="11" t="s">
        <x:v>740</x:v>
      </x:c>
      <x:c r="C15" s="10" t="n">
        <x:v>0.3</x:v>
      </x:c>
      <x:c r="D15" s="11" t="s">
        <x:v>712</x:v>
      </x:c>
      <x:c r="L15" s="4" t="s">
        <x:v>550</x:v>
      </x:c>
    </x:row>
    <x:row r="16" ht="15" hidden="0">
      <x:c r="A16" s="6" t="s">
        <x:v>741</x:v>
      </x:c>
      <x:c r="B16" s="11" t="s">
        <x:v>742</x:v>
      </x:c>
      <x:c r="C16" s="10" t="n">
        <x:v>600</x:v>
      </x:c>
      <x:c r="D16" s="11" t="s">
        <x:v>729</x:v>
      </x:c>
      <x:c r="L16" s="4" t="s">
        <x:v>550</x:v>
      </x:c>
    </x:row>
    <x:row r="17" ht="15" hidden="0">
      <x:c r="A17" s="6" t="s">
        <x:v>743</x:v>
      </x:c>
      <x:c r="B17" s="11" t="s">
        <x:v>744</x:v>
      </x:c>
      <x:c r="C17" s="10" t="n">
        <x:v>91</x:v>
      </x:c>
      <x:c r="D17" s="11" t="s">
        <x:v>745</x:v>
      </x:c>
      <x:c r="L17" s="4" t="s">
        <x:v>746</x:v>
      </x:c>
    </x:row>
    <x:row r="18" ht="15" hidden="0">
      <x:c r="A18" s="6" t="s">
        <x:v>747</x:v>
      </x:c>
      <x:c r="B18" s="11" t="s">
        <x:v>748</x:v>
      </x:c>
      <x:c r="C18" s="10" t="n">
        <x:v>4.2</x:v>
      </x:c>
      <x:c r="D18" s="11" t="s">
        <x:v>749</x:v>
      </x:c>
      <x:c r="L18" s="4" t="s">
        <x:v>750</x:v>
      </x:c>
    </x:row>
    <x:row r="19" ht="15" hidden="0">
      <x:c r="A19" s="6" t="s">
        <x:v>751</x:v>
      </x:c>
      <x:c r="B19" s="11" t="s">
        <x:v>752</x:v>
      </x:c>
      <x:c r="C19" s="10" t="n">
        <x:v>7</x:v>
      </x:c>
      <x:c r="D19" s="11" t="s">
        <x:v>672</x:v>
      </x:c>
      <x:c r="L19" s="4" t="s">
        <x:v>550</x:v>
      </x:c>
    </x:row>
    <x:row r="20" ht="15" hidden="0">
      <x:c r="A20" s="6" t="s">
        <x:v>753</x:v>
      </x:c>
      <x:c r="B20" s="11" t="s">
        <x:v>754</x:v>
      </x:c>
      <x:c r="C20" s="10" t="n">
        <x:v>12.5</x:v>
      </x:c>
      <x:c r="D20" s="11" t="s">
        <x:v>712</x:v>
      </x:c>
      <x:c r="L20" s="4" t="s">
        <x:v>550</x:v>
      </x:c>
    </x:row>
    <x:row r="21" ht="15" hidden="0">
      <x:c r="A21" s="6" t="s">
        <x:v>755</x:v>
      </x:c>
      <x:c r="B21" s="11" t="s">
        <x:v>756</x:v>
      </x:c>
      <x:c r="C21" s="10" t="n">
        <x:v>3</x:v>
      </x:c>
      <x:c r="D21" s="11" t="s">
        <x:v>712</x:v>
      </x:c>
      <x:c r="L21" s="4" t="s">
        <x:v>550</x:v>
      </x:c>
    </x:row>
    <x:row r="22" ht="15" hidden="0">
      <x:c r="A22" s="6" t="s">
        <x:v>757</x:v>
      </x:c>
      <x:c r="B22" s="6" t="s">
        <x:v>548</x:v>
      </x:c>
      <x:c r="C22" s="32" t="n">
        <x:f aca="0">A1_Kendali!B12</x:f>
        <x:v>8</x:v>
      </x:c>
      <x:c r="D22" s="11" t="s">
        <x:v>549</x:v>
      </x:c>
      <x:c r="L22" s="4" t="s">
        <x:v>57</x:v>
      </x:c>
    </x:row>
    <x:row r="23" ht="15" hidden="0">
      <x:c r="A23" s="6" t="s">
        <x:v>758</x:v>
      </x:c>
      <x:c r="B23" s="6" t="s">
        <x:v>529</x:v>
      </x:c>
      <x:c r="C23" s="29" t="n">
        <x:f aca="0">A1_Kendali!B5</x:f>
        <x:v>4500</x:v>
      </x:c>
      <x:c r="D23" s="11" t="s">
        <x:v>530</x:v>
      </x:c>
      <x:c r="L23" s="4" t="s">
        <x:v>759</x:v>
      </x:c>
    </x:row>
    <x:row r="24" ht="15" hidden="0">
      <x:c r="A24" s="6" t="s">
        <x:v>760</x:v>
      </x:c>
      <x:c r="B24" s="6" t="s">
        <x:v>540</x:v>
      </x:c>
      <x:c r="C24" s="19" t="n">
        <x:f aca="0">A1_Kendali!B9</x:f>
        <x:v>1114.74</x:v>
      </x:c>
      <x:c r="D24" s="11" t="s">
        <x:v>541</x:v>
      </x:c>
      <x:c r="L24" s="4" t="s">
        <x:v>761</x:v>
      </x:c>
    </x:row>
    <x:row r="25" ht="15" hidden="0">
      <x:c r="B25" s="6" t="s">
        <x:v>762</x:v>
      </x:c>
      <x:c r="C25" s="33" t="n">
        <x:f aca="0">C23/C22</x:f>
        <x:v>562.5</x:v>
      </x:c>
      <x:c r="D25" s="11" t="s">
        <x:v>763</x:v>
      </x:c>
      <x:c r="L25" s="4" t="s">
        <x:v>764</x:v>
      </x:c>
    </x:row>
    <x:row r="27" ht="19.5" hidden="0" customHeight="1">
      <x:c r="A27" s="14" t="s">
        <x:v>765</x:v>
      </x:c>
      <x:c r="B27" s="14"/>
      <x:c r="C27" s="14"/>
      <x:c r="D27" s="14"/>
      <x:c r="E27" s="14"/>
      <x:c r="F27" s="14"/>
      <x:c r="G27" s="14"/>
      <x:c r="H27" s="14"/>
      <x:c r="I27" s="14"/>
      <x:c r="J27" s="14"/>
      <x:c r="K27" s="14"/>
      <x:c r="L27" s="14"/>
    </x:row>
    <x:row r="28" ht="27.75" hidden="0" customHeight="1">
      <x:c r="A28" s="2" t="s">
        <x:v>766</x:v>
      </x:c>
      <x:c r="B28" s="2" t="s">
        <x:v>767</x:v>
      </x:c>
      <x:c r="C28" s="2" t="s">
        <x:v>768</x:v>
      </x:c>
      <x:c r="D28" s="2"/>
      <x:c r="E28" s="2" t="s">
        <x:v>769</x:v>
      </x:c>
      <x:c r="F28" s="2"/>
      <x:c r="G28" s="2" t="s">
        <x:v>522</x:v>
      </x:c>
      <x:c r="H28" s="2"/>
      <x:c r="I28" s="2" t="s">
        <x:v>770</x:v>
      </x:c>
      <x:c r="J28" s="2"/>
      <x:c r="K28" s="2"/>
      <x:c r="L28" s="2" t="s">
        <x:v>771</x:v>
      </x:c>
    </x:row>
    <x:row r="29" ht="30" hidden="0" customHeight="1">
      <x:c r="A29" s="6" t="s">
        <x:v>772</x:v>
      </x:c>
      <x:c r="B29" s="6" t="s">
        <x:v>773</x:v>
      </x:c>
      <x:c r="C29" s="4" t="s">
        <x:v>774</x:v>
      </x:c>
      <x:c r="D29" s="4"/>
      <x:c r="E29" s="4" t="s">
        <x:v>775</x:v>
      </x:c>
      <x:c r="F29" s="4"/>
      <x:c r="G29" s="11" t="s">
        <x:v>776</x:v>
      </x:c>
      <x:c r="H29" s="11"/>
      <x:c r="I29" s="4" t="s">
        <x:v>777</x:v>
      </x:c>
      <x:c r="J29" s="4"/>
      <x:c r="K29" s="4"/>
      <x:c r="L29" s="4" t="s">
        <x:v>778</x:v>
      </x:c>
    </x:row>
    <x:row r="30" ht="30" hidden="0" customHeight="1">
      <x:c r="A30" s="6" t="s">
        <x:v>779</x:v>
      </x:c>
      <x:c r="B30" s="6" t="s">
        <x:v>780</x:v>
      </x:c>
      <x:c r="C30" s="4" t="s">
        <x:v>781</x:v>
      </x:c>
      <x:c r="D30" s="4"/>
      <x:c r="E30" s="4" t="s">
        <x:v>782</x:v>
      </x:c>
      <x:c r="F30" s="4"/>
      <x:c r="G30" s="11" t="s">
        <x:v>710</x:v>
      </x:c>
      <x:c r="H30" s="11"/>
      <x:c r="I30" s="4" t="s">
        <x:v>777</x:v>
      </x:c>
      <x:c r="J30" s="4"/>
      <x:c r="K30" s="4"/>
      <x:c r="L30" s="4" t="s">
        <x:v>783</x:v>
      </x:c>
    </x:row>
    <x:row r="31" ht="30" hidden="0" customHeight="1">
      <x:c r="A31" s="6" t="s">
        <x:v>784</x:v>
      </x:c>
      <x:c r="B31" s="6" t="s">
        <x:v>785</x:v>
      </x:c>
      <x:c r="C31" s="4" t="s">
        <x:v>786</x:v>
      </x:c>
      <x:c r="D31" s="4"/>
      <x:c r="E31" s="4" t="s">
        <x:v>787</x:v>
      </x:c>
      <x:c r="F31" s="4"/>
      <x:c r="G31" s="11" t="s">
        <x:v>788</x:v>
      </x:c>
      <x:c r="H31" s="11"/>
      <x:c r="I31" s="4" t="s">
        <x:v>789</x:v>
      </x:c>
      <x:c r="J31" s="4"/>
      <x:c r="K31" s="4"/>
      <x:c r="L31" s="4" t="s">
        <x:v>790</x:v>
      </x:c>
    </x:row>
    <x:row r="32" ht="30" hidden="0" customHeight="1">
      <x:c r="A32" s="6" t="s">
        <x:v>791</x:v>
      </x:c>
      <x:c r="B32" s="6" t="s">
        <x:v>792</x:v>
      </x:c>
      <x:c r="C32" s="4" t="s">
        <x:v>793</x:v>
      </x:c>
      <x:c r="D32" s="4"/>
      <x:c r="E32" s="4" t="s">
        <x:v>794</x:v>
      </x:c>
      <x:c r="F32" s="4"/>
      <x:c r="G32" s="11" t="s">
        <x:v>795</x:v>
      </x:c>
      <x:c r="H32" s="11"/>
      <x:c r="I32" s="4" t="s">
        <x:v>796</x:v>
      </x:c>
      <x:c r="J32" s="4"/>
      <x:c r="K32" s="4"/>
      <x:c r="L32" s="4" t="s">
        <x:v>797</x:v>
      </x:c>
    </x:row>
    <x:row r="33" ht="30" hidden="0" customHeight="1">
      <x:c r="A33" s="6" t="s">
        <x:v>513</x:v>
      </x:c>
      <x:c r="B33" s="6" t="s">
        <x:v>798</x:v>
      </x:c>
      <x:c r="C33" s="4" t="s">
        <x:v>799</x:v>
      </x:c>
      <x:c r="D33" s="4"/>
      <x:c r="E33" s="4" t="s">
        <x:v>800</x:v>
      </x:c>
      <x:c r="F33" s="4"/>
      <x:c r="G33" s="11" t="s">
        <x:v>801</x:v>
      </x:c>
      <x:c r="H33" s="11"/>
      <x:c r="I33" s="4" t="s">
        <x:v>789</x:v>
      </x:c>
      <x:c r="J33" s="4"/>
      <x:c r="K33" s="4"/>
      <x:c r="L33" s="4" t="s">
        <x:v>802</x:v>
      </x:c>
    </x:row>
    <x:row r="34" ht="30" hidden="0" customHeight="1">
      <x:c r="A34" s="6" t="s">
        <x:v>803</x:v>
      </x:c>
      <x:c r="B34" s="6" t="s">
        <x:v>804</x:v>
      </x:c>
      <x:c r="C34" s="4" t="s">
        <x:v>805</x:v>
      </x:c>
      <x:c r="D34" s="4"/>
      <x:c r="E34" s="4" t="s">
        <x:v>806</x:v>
      </x:c>
      <x:c r="F34" s="4"/>
      <x:c r="G34" s="11" t="s">
        <x:v>807</x:v>
      </x:c>
      <x:c r="H34" s="11"/>
      <x:c r="I34" s="4" t="s">
        <x:v>808</x:v>
      </x:c>
      <x:c r="J34" s="4"/>
      <x:c r="K34" s="4"/>
      <x:c r="L34" s="4" t="s">
        <x:v>809</x:v>
      </x:c>
    </x:row>
    <x:row r="35" ht="30" hidden="0" customHeight="1">
      <x:c r="A35" s="6" t="s">
        <x:v>810</x:v>
      </x:c>
      <x:c r="B35" s="6" t="s">
        <x:v>811</x:v>
      </x:c>
      <x:c r="C35" s="4" t="s">
        <x:v>390</x:v>
      </x:c>
      <x:c r="D35" s="4"/>
      <x:c r="E35" s="4" t="s">
        <x:v>812</x:v>
      </x:c>
      <x:c r="F35" s="4"/>
      <x:c r="G35" s="11" t="s">
        <x:v>813</x:v>
      </x:c>
      <x:c r="H35" s="11"/>
      <x:c r="I35" s="4" t="s">
        <x:v>789</x:v>
      </x:c>
      <x:c r="J35" s="4"/>
      <x:c r="K35" s="4"/>
      <x:c r="L35" s="4" t="s">
        <x:v>814</x:v>
      </x:c>
    </x:row>
    <x:row r="36" ht="30" hidden="0" customHeight="1">
      <x:c r="A36" s="6" t="s">
        <x:v>815</x:v>
      </x:c>
      <x:c r="B36" s="6" t="s">
        <x:v>816</x:v>
      </x:c>
      <x:c r="C36" s="4" t="s">
        <x:v>390</x:v>
      </x:c>
      <x:c r="D36" s="4"/>
      <x:c r="E36" s="4" t="s">
        <x:v>816</x:v>
      </x:c>
      <x:c r="F36" s="4"/>
      <x:c r="G36" s="11" t="s">
        <x:v>817</x:v>
      </x:c>
      <x:c r="H36" s="11"/>
      <x:c r="I36" s="4" t="s">
        <x:v>789</x:v>
      </x:c>
      <x:c r="J36" s="4"/>
      <x:c r="K36" s="4"/>
      <x:c r="L36" s="4" t="s">
        <x:v>818</x:v>
      </x:c>
    </x:row>
    <x:row r="37" ht="30" hidden="0" customHeight="1">
      <x:c r="A37" s="6" t="s">
        <x:v>819</x:v>
      </x:c>
      <x:c r="B37" s="6" t="s">
        <x:v>820</x:v>
      </x:c>
      <x:c r="C37" s="4" t="s">
        <x:v>390</x:v>
      </x:c>
      <x:c r="D37" s="4"/>
      <x:c r="E37" s="4" t="s">
        <x:v>744</x:v>
      </x:c>
      <x:c r="F37" s="4"/>
      <x:c r="G37" s="11" t="s">
        <x:v>743</x:v>
      </x:c>
      <x:c r="H37" s="11"/>
      <x:c r="I37" s="4" t="s">
        <x:v>789</x:v>
      </x:c>
      <x:c r="J37" s="4"/>
      <x:c r="K37" s="4"/>
      <x:c r="L37" s="4" t="s">
        <x:v>821</x:v>
      </x:c>
    </x:row>
    <x:row r="38" ht="30" hidden="0" customHeight="1">
      <x:c r="A38" s="6" t="s">
        <x:v>493</x:v>
      </x:c>
      <x:c r="B38" s="6" t="s">
        <x:v>822</x:v>
      </x:c>
      <x:c r="C38" s="4" t="s">
        <x:v>390</x:v>
      </x:c>
      <x:c r="D38" s="4"/>
      <x:c r="E38" s="4" t="s">
        <x:v>748</x:v>
      </x:c>
      <x:c r="F38" s="4"/>
      <x:c r="G38" s="11" t="s">
        <x:v>823</x:v>
      </x:c>
      <x:c r="H38" s="11"/>
      <x:c r="I38" s="4" t="s">
        <x:v>824</x:v>
      </x:c>
      <x:c r="J38" s="4"/>
      <x:c r="K38" s="4"/>
      <x:c r="L38" s="4" t="s">
        <x:v>825</x:v>
      </x:c>
    </x:row>
    <x:row r="39" ht="30" hidden="0" customHeight="1">
      <x:c r="A39" s="6" t="s">
        <x:v>826</x:v>
      </x:c>
      <x:c r="B39" s="6" t="s">
        <x:v>827</x:v>
      </x:c>
      <x:c r="C39" s="4" t="s">
        <x:v>828</x:v>
      </x:c>
      <x:c r="D39" s="4"/>
      <x:c r="E39" s="4" t="s">
        <x:v>829</x:v>
      </x:c>
      <x:c r="F39" s="4"/>
      <x:c r="G39" s="11" t="s">
        <x:v>830</x:v>
      </x:c>
      <x:c r="H39" s="11"/>
      <x:c r="I39" s="4" t="s">
        <x:v>777</x:v>
      </x:c>
      <x:c r="J39" s="4"/>
      <x:c r="K39" s="4"/>
      <x:c r="L39" s="4" t="s">
        <x:v>831</x:v>
      </x:c>
    </x:row>
    <x:row r="41" ht="19.5" hidden="0" customHeight="1">
      <x:c r="A41" s="14" t="s">
        <x:v>832</x:v>
      </x:c>
      <x:c r="B41" s="14"/>
      <x:c r="C41" s="14"/>
      <x:c r="D41" s="14"/>
      <x:c r="E41" s="14"/>
      <x:c r="F41" s="14"/>
      <x:c r="G41" s="14"/>
      <x:c r="H41" s="14"/>
      <x:c r="I41" s="14"/>
      <x:c r="J41" s="14"/>
      <x:c r="K41" s="14"/>
      <x:c r="L41" s="14"/>
    </x:row>
    <x:row r="42" ht="27.75" hidden="0" customHeight="1">
      <x:c r="A42" s="2"/>
      <x:c r="B42" s="2" t="s">
        <x:v>522</x:v>
      </x:c>
      <x:c r="C42" s="2" t="s">
        <x:v>587</x:v>
      </x:c>
      <x:c r="D42" s="2" t="s">
        <x:v>588</x:v>
      </x:c>
      <x:c r="E42" s="2" t="s">
        <x:v>589</x:v>
      </x:c>
      <x:c r="F42" s="2" t="s">
        <x:v>590</x:v>
      </x:c>
      <x:c r="G42" s="2" t="s">
        <x:v>591</x:v>
      </x:c>
      <x:c r="H42" s="2" t="s">
        <x:v>592</x:v>
      </x:c>
      <x:c r="I42" s="2" t="s">
        <x:v>593</x:v>
      </x:c>
      <x:c r="J42" s="2" t="s">
        <x:v>594</x:v>
      </x:c>
      <x:c r="K42" s="2"/>
      <x:c r="L42" s="2" t="s">
        <x:v>833</x:v>
      </x:c>
    </x:row>
    <x:row r="43" ht="15" hidden="0">
      <x:c r="B43" s="6" t="s">
        <x:v>834</x:v>
      </x:c>
      <x:c r="C43" s="34" t="n">
        <x:v>460</x:v>
      </x:c>
      <x:c r="D43" s="34" t="n">
        <x:v>121.5</x:v>
      </x:c>
      <x:c r="E43" s="34" t="n">
        <x:v>171</x:v>
      </x:c>
      <x:c r="F43" s="34" t="n">
        <x:v>227.5</x:v>
      </x:c>
      <x:c r="G43" s="34" t="n">
        <x:v>284</x:v>
      </x:c>
      <x:c r="H43" s="34" t="n">
        <x:v>457</x:v>
      </x:c>
      <x:c r="I43" s="34" t="n">
        <x:v>78.5</x:v>
      </x:c>
      <x:c r="J43" s="34" t="n">
        <x:v>457</x:v>
      </x:c>
      <x:c r="L43" s="4" t="s">
        <x:v>835</x:v>
      </x:c>
    </x:row>
    <x:row r="44" ht="15" hidden="0">
      <x:c r="B44" s="6" t="s">
        <x:v>836</x:v>
      </x:c>
      <x:c r="C44" s="35" t="n">
        <x:f aca="0">1000/C43</x:f>
        <x:v>2.1739130434782608</x:v>
      </x:c>
      <x:c r="D44" s="35" t="n">
        <x:f aca="0">1000/D43</x:f>
        <x:v>8.23045267489712</x:v>
      </x:c>
      <x:c r="E44" s="35" t="n">
        <x:f aca="0">1000/E43</x:f>
        <x:v>5.847953216374269</x:v>
      </x:c>
      <x:c r="F44" s="35" t="n">
        <x:f aca="0">1000/F43</x:f>
        <x:v>4.395604395604396</x:v>
      </x:c>
      <x:c r="G44" s="35" t="n">
        <x:f aca="0">1000/G43</x:f>
        <x:v>3.5211267605633805</x:v>
      </x:c>
      <x:c r="H44" s="35" t="n">
        <x:f aca="0">1000/H43</x:f>
        <x:v>2.1881838074398248</x:v>
      </x:c>
      <x:c r="I44" s="35" t="n">
        <x:f aca="0">1000/I43</x:f>
        <x:v>12.738853503184714</x:v>
      </x:c>
      <x:c r="J44" s="35" t="n">
        <x:f aca="0">1000/J43</x:f>
        <x:v>2.1881838074398248</x:v>
      </x:c>
      <x:c r="L44" s="4" t="s">
        <x:v>837</x:v>
      </x:c>
    </x:row>
    <x:row r="45" ht="23.850000381469727" hidden="0">
      <x:c r="B45" s="6" t="s">
        <x:v>838</x:v>
      </x:c>
      <x:c r="C45" s="34" t="n">
        <x:v>12</x:v>
      </x:c>
      <x:c r="D45" s="34" t="n">
        <x:v>4</x:v>
      </x:c>
      <x:c r="E45" s="34" t="n">
        <x:v>4</x:v>
      </x:c>
      <x:c r="F45" s="34" t="n">
        <x:v>4</x:v>
      </x:c>
      <x:c r="G45" s="34" t="n">
        <x:v>4</x:v>
      </x:c>
      <x:c r="H45" s="34" t="n">
        <x:v>2</x:v>
      </x:c>
      <x:c r="I45" s="34" t="n">
        <x:v>5</x:v>
      </x:c>
      <x:c r="J45" s="34" t="n">
        <x:v>2</x:v>
      </x:c>
      <x:c r="L45" s="4" t="s">
        <x:v>839</x:v>
      </x:c>
    </x:row>
    <x:row r="46" ht="15" hidden="0">
      <x:c r="B46" s="6" t="s">
        <x:v>840</x:v>
      </x:c>
      <x:c r="C46" s="32" t="n">
        <x:f aca="0">A2_Derivasi!C52</x:f>
        <x:v>2.6797358433604557</x:v>
      </x:c>
      <x:c r="D46" s="32" t="n">
        <x:f aca="0">A2_Derivasi!D52</x:f>
        <x:v>3.3090479172098437</x:v>
      </x:c>
      <x:c r="E46" s="32" t="n">
        <x:f aca="0">A2_Derivasi!E52</x:f>
        <x:v>3.3090479172098437</x:v>
      </x:c>
      <x:c r="F46" s="32" t="n">
        <x:f aca="0">A2_Derivasi!F52</x:f>
        <x:v>3.3090479172098437</x:v>
      </x:c>
      <x:c r="G46" s="32" t="n">
        <x:f aca="0">A2_Derivasi!G52</x:f>
        <x:v>3.3090479172098437</x:v>
      </x:c>
      <x:c r="H46" s="32" t="n">
        <x:f aca="0">A2_Derivasi!H52</x:f>
        <x:v>3.3090479172098437</x:v>
      </x:c>
      <x:c r="I46" s="32" t="n">
        <x:f aca="0">A2_Derivasi!I52</x:f>
        <x:v>3.121454019925716</x:v>
      </x:c>
      <x:c r="J46" s="32" t="n">
        <x:f aca="0">A2_Derivasi!J52</x:f>
        <x:v>2.553916925393768</x:v>
      </x:c>
      <x:c r="L46" s="4" t="s">
        <x:v>841</x:v>
      </x:c>
    </x:row>
    <x:row r="47" ht="15" hidden="0">
      <x:c r="B47" s="6" t="s">
        <x:v>842</x:v>
      </x:c>
      <x:c r="C47" s="21" t="n">
        <x:f aca="0">C60*$C$24</x:f>
        <x:v>709.1273883666129</x:v>
      </x:c>
      <x:c r="D47" s="21" t="n">
        <x:f aca="0">D60*$C$24</x:f>
        <x:v>471.9922890729659</x:v>
      </x:c>
      <x:c r="E47" s="21" t="n">
        <x:f aca="0">E60*$C$24</x:f>
        <x:v>462.2541084361888</x:v>
      </x:c>
      <x:c r="F47" s="21" t="n">
        <x:f aca="0">F60*$C$24</x:f>
        <x:v>456.31780691315043</x:v>
      </x:c>
      <x:c r="G47" s="21" t="n">
        <x:f aca="0">G60*$C$24</x:f>
        <x:v>452.7434845172366</x:v>
      </x:c>
      <x:c r="H47" s="21" t="n">
        <x:f aca="0">H60*$C$24</x:f>
        <x:v>342.0474884124983</x:v>
      </x:c>
      <x:c r="I47" s="21" t="n">
        <x:f aca="0">I60*$C$24</x:f>
        <x:v>519.8992751138304</x:v>
      </x:c>
      <x:c r="J47" s="21" t="n">
        <x:f aca="0">J60*$C$24</x:f>
        <x:v>296.4045923850848</x:v>
      </x:c>
      <x:c r="L47" s="4" t="s">
        <x:v>843</x:v>
      </x:c>
    </x:row>
    <x:row r="48" ht="19.5" hidden="0" customHeight="1">
      <x:c r="A48" s="14" t="s">
        <x:v>844</x:v>
      </x:c>
      <x:c r="B48" s="14"/>
      <x:c r="C48" s="14"/>
      <x:c r="D48" s="14"/>
      <x:c r="E48" s="14"/>
      <x:c r="F48" s="14"/>
      <x:c r="G48" s="14"/>
      <x:c r="H48" s="14"/>
      <x:c r="I48" s="14"/>
      <x:c r="J48" s="14"/>
      <x:c r="K48" s="14"/>
      <x:c r="L48" s="14"/>
    </x:row>
    <x:row r="49" ht="27.75" hidden="0" customHeight="1">
      <x:c r="A49" s="2" t="s">
        <x:v>708</x:v>
      </x:c>
      <x:c r="B49" s="2" t="s">
        <x:v>766</x:v>
      </x:c>
      <x:c r="C49" s="2" t="s">
        <x:v>587</x:v>
      </x:c>
      <x:c r="D49" s="2" t="s">
        <x:v>588</x:v>
      </x:c>
      <x:c r="E49" s="2" t="s">
        <x:v>589</x:v>
      </x:c>
      <x:c r="F49" s="2" t="s">
        <x:v>590</x:v>
      </x:c>
      <x:c r="G49" s="2" t="s">
        <x:v>591</x:v>
      </x:c>
      <x:c r="H49" s="2" t="s">
        <x:v>592</x:v>
      </x:c>
      <x:c r="I49" s="2" t="s">
        <x:v>593</x:v>
      </x:c>
      <x:c r="J49" s="2" t="s">
        <x:v>594</x:v>
      </x:c>
      <x:c r="K49" s="2"/>
      <x:c r="L49" s="2" t="s">
        <x:v>595</x:v>
      </x:c>
    </x:row>
    <x:row r="50" ht="15" hidden="0">
      <x:c r="A50" s="6" t="s">
        <x:v>845</x:v>
      </x:c>
      <x:c r="B50" s="6" t="s">
        <x:v>846</x:v>
      </x:c>
      <x:c r="C50" s="13" t="n">
        <x:f aca="0">($C$5/$C$25)*C46*(C45/4)</x:f>
        <x:v>0.42875773493767294</x:v>
      </x:c>
      <x:c r="D50" s="13" t="n">
        <x:f aca="0">($C$5/$C$25)*D46*(D45/4)</x:f>
        <x:v>0.176482555584525</x:v>
      </x:c>
      <x:c r="E50" s="13" t="n">
        <x:f aca="0">($C$5/$C$25)*E46*(E45/4)</x:f>
        <x:v>0.176482555584525</x:v>
      </x:c>
      <x:c r="F50" s="13" t="n">
        <x:f aca="0">($C$5/$C$25)*F46*(F45/4)</x:f>
        <x:v>0.176482555584525</x:v>
      </x:c>
      <x:c r="G50" s="13" t="n">
        <x:f aca="0">($C$5/$C$25)*G46*(G45/4)</x:f>
        <x:v>0.176482555584525</x:v>
      </x:c>
      <x:c r="H50" s="13" t="n">
        <x:f aca="0">($C$5/$C$25)*H46*(H45/4)</x:f>
        <x:v>0.0882412777922625</x:v>
      </x:c>
      <x:c r="I50" s="13" t="n">
        <x:f aca="0">($C$5/$C$25)*I46*(I45/4)</x:f>
        <x:v>0.20809693466171442</x:v>
      </x:c>
      <x:c r="J50" s="13" t="n">
        <x:f aca="0">($C$5/$C$25)*J46*(J45/4)</x:f>
        <x:v>0.06810445134383382</x:v>
      </x:c>
      <x:c r="L50" s="36" t="s">
        <x:v>847</x:v>
      </x:c>
    </x:row>
    <x:row r="51" ht="15" hidden="0">
      <x:c r="A51" s="6" t="s">
        <x:v>848</x:v>
      </x:c>
      <x:c r="B51" s="6" t="s">
        <x:v>849</x:v>
      </x:c>
      <x:c r="C51" s="13" t="n">
        <x:f aca="0">$C$6*(C44*$C$7/3600)/$C$8</x:f>
        <x:v>0.007971014492753623</x:v>
      </x:c>
      <x:c r="D51" s="13" t="n">
        <x:f aca="0">$C$6*(D44*$C$7/3600)/$C$8</x:f>
        <x:v>0.03017832647462277</x:v>
      </x:c>
      <x:c r="E51" s="13" t="n">
        <x:f aca="0">$C$6*(E44*$C$7/3600)/$C$8</x:f>
        <x:v>0.021442495126705652</x:v>
      </x:c>
      <x:c r="F51" s="13" t="n">
        <x:f aca="0">$C$6*(F44*$C$7/3600)/$C$8</x:f>
        <x:v>0.016117216117216115</x:v>
      </x:c>
      <x:c r="G51" s="13" t="n">
        <x:f aca="0">$C$6*(G44*$C$7/3600)/$C$8</x:f>
        <x:v>0.012910798122065725</x:v>
      </x:c>
      <x:c r="H51" s="13" t="n">
        <x:f aca="0">0</x:f>
        <x:v>0</x:v>
      </x:c>
      <x:c r="I51" s="13" t="n">
        <x:f aca="0">$C$6*(I44*$C$7/3600)/$C$8</x:f>
        <x:v>0.04670912951167728</x:v>
      </x:c>
      <x:c r="J51" s="13" t="n">
        <x:f aca="0">0</x:f>
        <x:v>0</x:v>
      </x:c>
      <x:c r="L51" s="36" t="s">
        <x:v>850</x:v>
      </x:c>
    </x:row>
    <x:row r="52" ht="15" hidden="0">
      <x:c r="A52" s="6" t="s">
        <x:v>851</x:v>
      </x:c>
      <x:c r="B52" s="6" t="s">
        <x:v>852</x:v>
      </x:c>
      <x:c r="C52" s="13" t="n">
        <x:f aca="0">0</x:f>
        <x:v>0</x:v>
      </x:c>
      <x:c r="D52" s="13" t="n">
        <x:f aca="0">0</x:f>
        <x:v>0</x:v>
      </x:c>
      <x:c r="E52" s="13" t="n">
        <x:f aca="0">0</x:f>
        <x:v>0</x:v>
      </x:c>
      <x:c r="F52" s="13" t="n">
        <x:f aca="0">0</x:f>
        <x:v>0</x:v>
      </x:c>
      <x:c r="G52" s="13" t="n">
        <x:f aca="0">0</x:f>
        <x:v>0</x:v>
      </x:c>
      <x:c r="H52" s="13" t="n">
        <x:f aca="0">$C$9/$C$10</x:f>
        <x:v>0.00185</x:v>
      </x:c>
      <x:c r="I52" s="13" t="n">
        <x:f aca="0">0</x:f>
        <x:v>0</x:v>
      </x:c>
      <x:c r="J52" s="13" t="n">
        <x:f aca="0">$C$9/$C$10</x:f>
        <x:v>0.00185</x:v>
      </x:c>
      <x:c r="L52" s="36" t="s">
        <x:v>853</x:v>
      </x:c>
    </x:row>
    <x:row r="53" ht="15" hidden="0">
      <x:c r="A53" s="6" t="s">
        <x:v>854</x:v>
      </x:c>
      <x:c r="B53" s="6" t="s">
        <x:v>855</x:v>
      </x:c>
      <x:c r="C53" s="13" t="n">
        <x:f aca="0">$C$11*$C$12/100</x:f>
        <x:v>0.005</x:v>
      </x:c>
      <x:c r="D53" s="13" t="n">
        <x:f aca="0">$C$11*$C$12/100</x:f>
        <x:v>0.005</x:v>
      </x:c>
      <x:c r="E53" s="13" t="n">
        <x:f aca="0">$C$11*$C$12/100</x:f>
        <x:v>0.005</x:v>
      </x:c>
      <x:c r="F53" s="13" t="n">
        <x:f aca="0">$C$11*$C$12/100</x:f>
        <x:v>0.005</x:v>
      </x:c>
      <x:c r="G53" s="13" t="n">
        <x:f aca="0">$C$11*$C$12/100</x:f>
        <x:v>0.005</x:v>
      </x:c>
      <x:c r="H53" s="13" t="n">
        <x:f aca="0">$C$11*$C$12/100</x:f>
        <x:v>0.005</x:v>
      </x:c>
      <x:c r="I53" s="13" t="n">
        <x:f aca="0">$C$11*$C$12/100</x:f>
        <x:v>0.005</x:v>
      </x:c>
      <x:c r="J53" s="13" t="n">
        <x:f aca="0">$C$11*$C$12/100</x:f>
        <x:v>0.005</x:v>
      </x:c>
      <x:c r="L53" s="36" t="s">
        <x:v>856</x:v>
      </x:c>
    </x:row>
    <x:row r="54" ht="15" hidden="0">
      <x:c r="A54" s="6" t="s">
        <x:v>857</x:v>
      </x:c>
      <x:c r="B54" s="6" t="s">
        <x:v>858</x:v>
      </x:c>
      <x:c r="C54" s="13" t="n">
        <x:f aca="0">$C$13/$C$14</x:f>
        <x:v>0.005</x:v>
      </x:c>
      <x:c r="D54" s="13" t="n">
        <x:f aca="0">$C$13/$C$14</x:f>
        <x:v>0.005</x:v>
      </x:c>
      <x:c r="E54" s="13" t="n">
        <x:f aca="0">$C$13/$C$14</x:f>
        <x:v>0.005</x:v>
      </x:c>
      <x:c r="F54" s="13" t="n">
        <x:f aca="0">$C$13/$C$14</x:f>
        <x:v>0.005</x:v>
      </x:c>
      <x:c r="G54" s="13" t="n">
        <x:f aca="0">$C$13/$C$14</x:f>
        <x:v>0.005</x:v>
      </x:c>
      <x:c r="H54" s="13" t="n">
        <x:f aca="0">$C$13/$C$14</x:f>
        <x:v>0.005</x:v>
      </x:c>
      <x:c r="I54" s="13" t="n">
        <x:f aca="0">$C$13/$C$14</x:f>
        <x:v>0.005</x:v>
      </x:c>
      <x:c r="J54" s="13" t="n">
        <x:f aca="0">$C$13/$C$14</x:f>
        <x:v>0.005</x:v>
      </x:c>
      <x:c r="L54" s="36" t="s">
        <x:v>859</x:v>
      </x:c>
    </x:row>
    <x:row r="55" ht="15" hidden="0">
      <x:c r="A55" s="6" t="s">
        <x:v>860</x:v>
      </x:c>
      <x:c r="B55" s="6" t="s">
        <x:v>861</x:v>
      </x:c>
      <x:c r="C55" s="13" t="n">
        <x:f aca="0">$C$15/$C$16</x:f>
        <x:v>0.0005</x:v>
      </x:c>
      <x:c r="D55" s="13" t="n">
        <x:f aca="0">$C$15/$C$16</x:f>
        <x:v>0.0005</x:v>
      </x:c>
      <x:c r="E55" s="13" t="n">
        <x:f aca="0">$C$15/$C$16</x:f>
        <x:v>0.0005</x:v>
      </x:c>
      <x:c r="F55" s="13" t="n">
        <x:f aca="0">$C$15/$C$16</x:f>
        <x:v>0.0005</x:v>
      </x:c>
      <x:c r="G55" s="13" t="n">
        <x:f aca="0">$C$15/$C$16</x:f>
        <x:v>0.0005</x:v>
      </x:c>
      <x:c r="H55" s="13" t="n">
        <x:f aca="0">$C$15/$C$16</x:f>
        <x:v>0.0005</x:v>
      </x:c>
      <x:c r="I55" s="13" t="n">
        <x:f aca="0">$C$15/$C$16</x:f>
        <x:v>0.0005</x:v>
      </x:c>
      <x:c r="J55" s="13" t="n">
        <x:f aca="0">$C$15/$C$16</x:f>
        <x:v>0.0005</x:v>
      </x:c>
      <x:c r="L55" s="36" t="s">
        <x:v>862</x:v>
      </x:c>
    </x:row>
    <x:row r="56" ht="15" hidden="0">
      <x:c r="A56" s="6" t="s">
        <x:v>863</x:v>
      </x:c>
      <x:c r="B56" s="6" t="s">
        <x:v>864</x:v>
      </x:c>
      <x:c r="C56" s="13" t="n">
        <x:f aca="0">$C$17/1000</x:f>
        <x:v>0.091</x:v>
      </x:c>
      <x:c r="D56" s="13" t="n">
        <x:f aca="0">$C$17/1000</x:f>
        <x:v>0.091</x:v>
      </x:c>
      <x:c r="E56" s="13" t="n">
        <x:f aca="0">$C$17/1000</x:f>
        <x:v>0.091</x:v>
      </x:c>
      <x:c r="F56" s="13" t="n">
        <x:f aca="0">$C$17/1000</x:f>
        <x:v>0.091</x:v>
      </x:c>
      <x:c r="G56" s="13" t="n">
        <x:f aca="0">$C$17/1000</x:f>
        <x:v>0.091</x:v>
      </x:c>
      <x:c r="H56" s="13" t="n">
        <x:f aca="0">$C$17/1000</x:f>
        <x:v>0.091</x:v>
      </x:c>
      <x:c r="I56" s="13" t="n">
        <x:f aca="0">$C$17/1000</x:f>
        <x:v>0.091</x:v>
      </x:c>
      <x:c r="J56" s="13" t="n">
        <x:f aca="0">$C$17/1000</x:f>
        <x:v>0.091</x:v>
      </x:c>
      <x:c r="L56" s="36" t="s">
        <x:v>865</x:v>
      </x:c>
    </x:row>
    <x:row r="57" ht="15" hidden="0">
      <x:c r="A57" s="6" t="s">
        <x:v>866</x:v>
      </x:c>
      <x:c r="B57" s="6" t="s">
        <x:v>867</x:v>
      </x:c>
      <x:c r="C57" s="13" t="n">
        <x:f aca="0">$C$18*$C$19/1000</x:f>
        <x:v>0.029400000000000003</x:v>
      </x:c>
      <x:c r="D57" s="13" t="n">
        <x:f aca="0">$C$18*$C$19/1000</x:f>
        <x:v>0.029400000000000003</x:v>
      </x:c>
      <x:c r="E57" s="13" t="n">
        <x:f aca="0">$C$18*$C$19/1000</x:f>
        <x:v>0.029400000000000003</x:v>
      </x:c>
      <x:c r="F57" s="13" t="n">
        <x:f aca="0">$C$18*$C$19/1000</x:f>
        <x:v>0.029400000000000003</x:v>
      </x:c>
      <x:c r="G57" s="13" t="n">
        <x:f aca="0">$C$18*$C$19/1000</x:f>
        <x:v>0.029400000000000003</x:v>
      </x:c>
      <x:c r="H57" s="13" t="n">
        <x:f aca="0">$C$18*$C$19/1000</x:f>
        <x:v>0.029400000000000003</x:v>
      </x:c>
      <x:c r="I57" s="13" t="n">
        <x:f aca="0">$C$18*$C$19/1000</x:f>
        <x:v>0.029400000000000003</x:v>
      </x:c>
      <x:c r="J57" s="13" t="n">
        <x:f aca="0">$C$18*$C$19/1000</x:f>
        <x:v>0.029400000000000003</x:v>
      </x:c>
      <x:c r="L57" s="36" t="s">
        <x:v>868</x:v>
      </x:c>
    </x:row>
    <x:row r="58" ht="15" hidden="0">
      <x:c r="A58" s="6" t="s">
        <x:v>869</x:v>
      </x:c>
      <x:c r="B58" s="6" t="s">
        <x:v>870</x:v>
      </x:c>
      <x:c r="C58" s="13" t="n">
        <x:f aca="0">($C$20/$C$25)*C46</x:f>
        <x:v>0.05954968540801013</x:v>
      </x:c>
      <x:c r="D58" s="13" t="n">
        <x:f aca="0">($C$20/$C$25)*D46</x:f>
        <x:v>0.07353439816021876</x:v>
      </x:c>
      <x:c r="E58" s="13" t="n">
        <x:f aca="0">($C$20/$C$25)*E46</x:f>
        <x:v>0.07353439816021876</x:v>
      </x:c>
      <x:c r="F58" s="13" t="n">
        <x:f aca="0">($C$20/$C$25)*F46</x:f>
        <x:v>0.07353439816021876</x:v>
      </x:c>
      <x:c r="G58" s="13" t="n">
        <x:f aca="0">($C$20/$C$25)*G46</x:f>
        <x:v>0.07353439816021876</x:v>
      </x:c>
      <x:c r="H58" s="13" t="n">
        <x:f aca="0">($C$20/$C$25)*H46</x:f>
        <x:v>0.07353439816021876</x:v>
      </x:c>
      <x:c r="I58" s="13" t="n">
        <x:f aca="0">($C$20/$C$25)*I46</x:f>
        <x:v>0.06936564488723813</x:v>
      </x:c>
      <x:c r="J58" s="13" t="n">
        <x:f aca="0">($C$20/$C$25)*J46</x:f>
        <x:v>0.05675370945319484</x:v>
      </x:c>
      <x:c r="L58" s="36" t="s">
        <x:v>871</x:v>
      </x:c>
    </x:row>
    <x:row r="59" ht="15" hidden="0">
      <x:c r="A59" s="6" t="s">
        <x:v>872</x:v>
      </x:c>
      <x:c r="B59" s="6" t="s">
        <x:v>873</x:v>
      </x:c>
      <x:c r="C59" s="13" t="n">
        <x:f aca="0">($C$21/$C$25)*MAX(C46-1,0)</x:f>
        <x:v>0.008958591164589096</x:v>
      </x:c>
      <x:c r="D59" s="13" t="n">
        <x:f aca="0">($C$21/$C$25)*MAX(D46-1,0)</x:f>
        <x:v>0.012314922225119165</x:v>
      </x:c>
      <x:c r="E59" s="13" t="n">
        <x:f aca="0">($C$21/$C$25)*MAX(E46-1,0)</x:f>
        <x:v>0.012314922225119165</x:v>
      </x:c>
      <x:c r="F59" s="13" t="n">
        <x:f aca="0">($C$21/$C$25)*MAX(F46-1,0)</x:f>
        <x:v>0.012314922225119165</x:v>
      </x:c>
      <x:c r="G59" s="13" t="n">
        <x:f aca="0">($C$21/$C$25)*MAX(G46-1,0)</x:f>
        <x:v>0.012314922225119165</x:v>
      </x:c>
      <x:c r="H59" s="13" t="n">
        <x:f aca="0">($C$21/$C$25)*MAX(H46-1,0)</x:f>
        <x:v>0.012314922225119165</x:v>
      </x:c>
      <x:c r="I59" s="13" t="n">
        <x:f aca="0">($C$21/$C$25)*MAX(I46-1,0)</x:f>
        <x:v>0.011314421439603818</x:v>
      </x:c>
      <x:c r="J59" s="13" t="n">
        <x:f aca="0">($C$21/$C$25)*MAX(J46-1,0)</x:f>
        <x:v>0.008287556935433428</x:v>
      </x:c>
      <x:c r="L59" s="36" t="s">
        <x:v>874</x:v>
      </x:c>
    </x:row>
    <x:row r="60" ht="15" hidden="0">
      <x:c r="B60" s="6" t="s">
        <x:v>875</x:v>
      </x:c>
      <x:c r="C60" s="26" t="n">
        <x:f aca="0">SUM(C50:C59)</x:f>
        <x:v>0.6361370260030257</x:v>
      </x:c>
      <x:c r="D60" s="26" t="n">
        <x:f aca="0">SUM(D50:D59)</x:f>
        <x:v>0.42341020244448563</x:v>
      </x:c>
      <x:c r="E60" s="26" t="n">
        <x:f aca="0">SUM(E50:E59)</x:f>
        <x:v>0.4146743710965685</x:v>
      </x:c>
      <x:c r="F60" s="26" t="n">
        <x:f aca="0">SUM(F50:F59)</x:f>
        <x:v>0.409349092087079</x:v>
      </x:c>
      <x:c r="G60" s="26" t="n">
        <x:f aca="0">SUM(G50:G59)</x:f>
        <x:v>0.40614267409192867</x:v>
      </x:c>
      <x:c r="H60" s="26" t="n">
        <x:f aca="0">SUM(H50:H59)</x:f>
        <x:v>0.3068405981776004</x:v>
      </x:c>
      <x:c r="I60" s="26" t="n">
        <x:f aca="0">SUM(I50:I59)</x:f>
        <x:v>0.46638613050023364</x:v>
      </x:c>
      <x:c r="J60" s="26" t="n">
        <x:f aca="0">SUM(J50:J59)</x:f>
        <x:v>0.2658957177324621</x:v>
      </x:c>
      <x:c r="L60" s="4" t="s">
        <x:v>876</x:v>
      </x:c>
    </x:row>
    <x:row r="61" ht="15" hidden="0">
      <x:c r="B61" s="6" t="s">
        <x:v>877</x:v>
      </x:c>
      <x:c r="C61" s="35" t="n">
        <x:f aca="0">C60/MIN($C$60:$J$60)</x:f>
        <x:v>2.392430504063595</x:v>
      </x:c>
      <x:c r="D61" s="35" t="n">
        <x:f aca="0">D60/MIN($C$60:$J$60)</x:f>
        <x:v>1.5923919574760161</x:v>
      </x:c>
      <x:c r="E61" s="35" t="n">
        <x:f aca="0">E60/MIN($C$60:$J$60)</x:f>
        <x:v>1.5595376060693233</x:v>
      </x:c>
      <x:c r="F61" s="35" t="n">
        <x:f aca="0">F60/MIN($C$60:$J$60)</x:f>
        <x:v>1.5395099085384902</x:v>
      </x:c>
      <x:c r="G61" s="35" t="n">
        <x:f aca="0">G60/MIN($C$60:$J$60)</x:f>
        <x:v>1.5274509779829537</x:v>
      </x:c>
      <x:c r="H61" s="35" t="n">
        <x:f aca="0">H60/MIN($C$60:$J$60)</x:f>
        <x:v>1.1539884914067553</x:v>
      </x:c>
      <x:c r="I61" s="35" t="n">
        <x:f aca="0">I60/MIN($C$60:$J$60)</x:f>
        <x:v>1.75401896080741</x:v>
      </x:c>
      <x:c r="J61" s="35" t="n">
        <x:f aca="0">J60/MIN($C$60:$J$60)</x:f>
        <x:v>1</x:v>
      </x:c>
      <x:c r="L61" s="37" t="s">
        <x:v>878</x:v>
      </x:c>
    </x:row>
    <x:row r="63" ht="19.5" hidden="0" customHeight="1">
      <x:c r="A63" s="14" t="s">
        <x:v>879</x:v>
      </x:c>
      <x:c r="B63" s="14"/>
      <x:c r="C63" s="14"/>
      <x:c r="D63" s="14"/>
      <x:c r="E63" s="14"/>
      <x:c r="F63" s="14"/>
      <x:c r="G63" s="14"/>
      <x:c r="H63" s="14"/>
      <x:c r="I63" s="14"/>
      <x:c r="J63" s="14"/>
      <x:c r="K63" s="14"/>
      <x:c r="L63" s="14"/>
    </x:row>
    <x:row r="64" ht="27.75" hidden="0" customHeight="1">
      <x:c r="A64" s="2"/>
      <x:c r="B64" s="2" t="s">
        <x:v>880</x:v>
      </x:c>
      <x:c r="C64" s="2" t="s">
        <x:v>587</x:v>
      </x:c>
      <x:c r="D64" s="2" t="s">
        <x:v>588</x:v>
      </x:c>
      <x:c r="E64" s="2" t="s">
        <x:v>589</x:v>
      </x:c>
      <x:c r="F64" s="2" t="s">
        <x:v>590</x:v>
      </x:c>
      <x:c r="G64" s="2" t="s">
        <x:v>591</x:v>
      </x:c>
      <x:c r="H64" s="2" t="s">
        <x:v>592</x:v>
      </x:c>
      <x:c r="I64" s="2" t="s">
        <x:v>593</x:v>
      </x:c>
      <x:c r="J64" s="2" t="s">
        <x:v>594</x:v>
      </x:c>
      <x:c r="K64" s="2" t="s">
        <x:v>393</x:v>
      </x:c>
      <x:c r="L64" s="2" t="s">
        <x:v>595</x:v>
      </x:c>
    </x:row>
    <x:row r="65" ht="15" hidden="0">
      <x:c r="B65" s="6" t="s">
        <x:v>881</x:v>
      </x:c>
      <x:c r="C65" s="19" t="n">
        <x:f aca="0">A2_Derivasi!C27</x:f>
        <x:v>5416.22</x:v>
      </x:c>
      <x:c r="D65" s="19" t="n">
        <x:f aca="0">A2_Derivasi!D27</x:f>
        <x:v>2270</x:v>
      </x:c>
      <x:c r="E65" s="19" t="n">
        <x:f aca="0">A2_Derivasi!E27</x:f>
        <x:v>2724</x:v>
      </x:c>
      <x:c r="F65" s="19" t="n">
        <x:f aca="0">A2_Derivasi!F27</x:f>
        <x:v>3863.54</x:v>
      </x:c>
      <x:c r="G65" s="19" t="n">
        <x:f aca="0">A2_Derivasi!G27</x:f>
        <x:v>2542.4</x:v>
      </x:c>
      <x:c r="H65" s="19" t="n">
        <x:f aca="0">A2_Derivasi!H27</x:f>
        <x:v>2270</x:v>
      </x:c>
      <x:c r="I65" s="19" t="n">
        <x:f aca="0">A2_Derivasi!I27</x:f>
        <x:v>889.84</x:v>
      </x:c>
      <x:c r="J65" s="19" t="n">
        <x:f aca="0">A2_Derivasi!J27</x:f>
        <x:v>0</x:v>
      </x:c>
      <x:c r="K65" s="20" t="n">
        <x:f aca="0">SUM(C65:J65)</x:f>
        <x:v>19976.000000000004</x:v>
      </x:c>
    </x:row>
    <x:row r="66" ht="15" hidden="0">
      <x:c r="B66" s="6" t="s">
        <x:v>882</x:v>
      </x:c>
      <x:c r="C66" s="27" t="n">
        <x:f aca="0">C65*C60</x:f>
        <x:v>3445.458082978108</x:v>
      </x:c>
      <x:c r="D66" s="27" t="n">
        <x:f aca="0">D65*D60</x:f>
        <x:v>961.1411595489824</x:v>
      </x:c>
      <x:c r="E66" s="27" t="n">
        <x:f aca="0">E65*E60</x:f>
        <x:v>1129.5729868670526</x:v>
      </x:c>
      <x:c r="F66" s="27" t="n">
        <x:f aca="0">F65*F60</x:f>
        <x:v>1581.5365912421132</x:v>
      </x:c>
      <x:c r="G66" s="27" t="n">
        <x:f aca="0">G65*G60</x:f>
        <x:v>1032.5771346113195</x:v>
      </x:c>
      <x:c r="H66" s="27" t="n">
        <x:f aca="0">H65*H60</x:f>
        <x:v>696.528157863153</x:v>
      </x:c>
      <x:c r="I66" s="27" t="n">
        <x:f aca="0">I65*I60</x:f>
        <x:v>415.00903436432793</x:v>
      </x:c>
      <x:c r="J66" s="27" t="n">
        <x:f aca="0">J65*J60</x:f>
        <x:v>0</x:v>
      </x:c>
      <x:c r="K66" s="38" t="n">
        <x:f aca="0">SUM(C66:J66)</x:f>
        <x:v>9261.823147475057</x:v>
      </x:c>
    </x:row>
    <x:row r="67" ht="15" hidden="0">
      <x:c r="B67" s="6" t="s">
        <x:v>883</x:v>
      </x:c>
      <x:c r="C67" s="19" t="n">
        <x:f aca="0">A4_LP_Model!B12</x:f>
        <x:v>5416.372388033762</x:v>
      </x:c>
      <x:c r="D67" s="19" t="n">
        <x:f aca="0">A4_LP_Model!C12</x:f>
        <x:v>1589.0748981428117</x:v>
      </x:c>
      <x:c r="E67" s="19" t="n">
        <x:f aca="0">A4_LP_Model!D12</x:f>
        <x:v>1906.889877771375</x:v>
      </x:c>
      <x:c r="F67" s="19" t="n">
        <x:f aca="0">A4_LP_Model!E12</x:f>
        <x:v>2704.605476639064</x:v>
      </x:c>
      <x:c r="G67" s="19" t="n">
        <x:f aca="0">A4_LP_Model!F12</x:f>
        <x:v>1779.7638859199467</x:v>
      </x:c>
      <x:c r="H67" s="19" t="n">
        <x:f aca="0">A4_LP_Model!G12</x:f>
        <x:v>1589.0748981428117</x:v>
      </x:c>
      <x:c r="I67" s="19" t="n">
        <x:f aca="0">A4_LP_Model!H12</x:f>
        <x:v>622.9335607469213</x:v>
      </x:c>
      <x:c r="J67" s="19" t="n">
        <x:f aca="0">A4_LP_Model!I12</x:f>
        <x:v>0</x:v>
      </x:c>
      <x:c r="K67" s="20" t="n">
        <x:f aca="0">SUM(C67:J67)</x:f>
        <x:v>15608.714985396693</x:v>
      </x:c>
    </x:row>
    <x:row r="68" ht="15" hidden="0">
      <x:c r="B68" s="6" t="s">
        <x:v>884</x:v>
      </x:c>
      <x:c r="C68" s="27" t="n">
        <x:f aca="0">C67*C60</x:f>
        <x:v>3445.5550226487035</x:v>
      </x:c>
      <x:c r="D68" s="27" t="n">
        <x:f aca="0">D67*D60</x:f>
        <x:v>672.8305243220983</x:v>
      </x:c>
      <x:c r="E68" s="27" t="n">
        <x:f aca="0">E67*E60</x:f>
        <x:v>790.7383608152574</x:v>
      </x:c>
      <x:c r="F68" s="27" t="n">
        <x:f aca="0">F67*F60</x:f>
        <x:v>1107.1277963159423</x:v>
      </x:c>
      <x:c r="G68" s="27" t="n">
        <x:f aca="0">G67*G60</x:f>
        <x:v>722.8380638797694</x:v>
      </x:c>
      <x:c r="H68" s="27" t="n">
        <x:f aca="0">H67*H60</x:f>
        <x:v>487.59269229514973</x:v>
      </x:c>
      <x:c r="I68" s="27" t="n">
        <x:f aca="0">I67*I60</x:f>
        <x:v>290.5275729554889</x:v>
      </x:c>
      <x:c r="J68" s="27" t="n">
        <x:f aca="0">J67*J60</x:f>
        <x:v>0</x:v>
      </x:c>
      <x:c r="K68" s="38" t="n">
        <x:f aca="0">SUM(C68:J68)</x:f>
        <x:v>7517.21003323241</x:v>
      </x:c>
    </x:row>
    <x:row r="69" ht="15" hidden="0">
      <x:c r="B69" s="6" t="s">
        <x:v>885</x:v>
      </x:c>
      <x:c r="K69" s="17" t="n">
        <x:f aca="0">K68/K66-1</x:f>
        <x:v>-0.18836605779049675</x:v>
      </x:c>
    </x:row>
    <x:row r="70" ht="15" hidden="0">
      <x:c r="B70" s="6" t="s">
        <x:v>886</x:v>
      </x:c>
      <x:c r="K70" s="39" t="n">
        <x:f aca="0">K66/K65</x:f>
        <x:v>0.46364753441505085</x:v>
      </x:c>
    </x:row>
    <x:row r="71" ht="15" hidden="0">
      <x:c r="B71" s="6" t="s">
        <x:v>887</x:v>
      </x:c>
      <x:c r="K71" s="39" t="n">
        <x:f aca="0">K68/K67</x:f>
        <x:v>0.48160338889302623</x:v>
      </x:c>
    </x:row>
    <x:row r="72" ht="15" hidden="0">
      <x:c r="B72" s="6" t="s">
        <x:v>888</x:v>
      </x:c>
      <x:c r="K72" s="20" t="n">
        <x:f aca="0">K66*$C$24</x:f>
        <x:v>10324524.735416345</x:v>
      </x:c>
    </x:row>
    <x:row r="73" ht="15" hidden="0">
      <x:c r="B73" s="6" t="s">
        <x:v>889</x:v>
      </x:c>
      <x:c r="K73" s="20" t="n">
        <x:f aca="0">K68*$C$24</x:f>
        <x:v>8379734.712445497</x:v>
      </x:c>
    </x:row>
    <x:row r="74" ht="15" hidden="0">
      <x:c r="B74" s="6" t="s">
        <x:v>890</x:v>
      </x:c>
      <x:c r="K74" s="20" t="n">
        <x:f aca="0">A2_Derivasi!K91/K66</x:f>
        <x:v>30884.3030597958</x:v>
      </x:c>
    </x:row>
    <x:row r="75" ht="15" hidden="0">
      <x:c r="B75" s="6" t="s">
        <x:v>891</x:v>
      </x:c>
      <x:c r="K75" s="21" t="n">
        <x:f aca="0">A4_LP_Model!B27/K68</x:f>
        <x:v>51549.36719045259</x:v>
      </x:c>
    </x:row>
    <x:row r="77" ht="43.5" hidden="0" customHeight="1">
      <x:c r="B77" s="37" t="s">
        <x:v>892</x:v>
      </x:c>
      <x:c r="C77" s="37"/>
      <x:c r="D77" s="37"/>
      <x:c r="E77" s="37"/>
      <x:c r="F77" s="37"/>
      <x:c r="G77" s="37"/>
      <x:c r="H77" s="37"/>
      <x:c r="I77" s="37"/>
      <x:c r="J77" s="37"/>
      <x:c r="K77" s="37"/>
      <x:c r="L77" s="37"/>
    </x:row>
  </x:sheetData>
  <x:mergeCells>
    <x:mergeCell ref="A1:L1"/>
    <x:mergeCell ref="A3:L3"/>
    <x:mergeCell ref="A27:L27"/>
    <x:mergeCell ref="C29:D29"/>
    <x:mergeCell ref="E29:F29"/>
    <x:mergeCell ref="G29:H29"/>
    <x:mergeCell ref="I29:K29"/>
    <x:mergeCell ref="C30:D30"/>
    <x:mergeCell ref="E30:F30"/>
    <x:mergeCell ref="G30:H30"/>
    <x:mergeCell ref="I30:K30"/>
    <x:mergeCell ref="C31:D31"/>
    <x:mergeCell ref="E31:F31"/>
    <x:mergeCell ref="G31:H31"/>
    <x:mergeCell ref="I31:K31"/>
    <x:mergeCell ref="C32:D32"/>
    <x:mergeCell ref="E32:F32"/>
    <x:mergeCell ref="G32:H32"/>
    <x:mergeCell ref="I32:K32"/>
    <x:mergeCell ref="C33:D33"/>
    <x:mergeCell ref="E33:F33"/>
    <x:mergeCell ref="G33:H33"/>
    <x:mergeCell ref="I33:K33"/>
    <x:mergeCell ref="C34:D34"/>
    <x:mergeCell ref="E34:F34"/>
    <x:mergeCell ref="G34:H34"/>
    <x:mergeCell ref="I34:K34"/>
    <x:mergeCell ref="C35:D35"/>
    <x:mergeCell ref="E35:F35"/>
    <x:mergeCell ref="G35:H35"/>
    <x:mergeCell ref="I35:K35"/>
    <x:mergeCell ref="C36:D36"/>
    <x:mergeCell ref="E36:F36"/>
    <x:mergeCell ref="G36:H36"/>
    <x:mergeCell ref="I36:K36"/>
    <x:mergeCell ref="C37:D37"/>
    <x:mergeCell ref="E37:F37"/>
    <x:mergeCell ref="G37:H37"/>
    <x:mergeCell ref="I37:K37"/>
    <x:mergeCell ref="C38:D38"/>
    <x:mergeCell ref="E38:F38"/>
    <x:mergeCell ref="G38:H38"/>
    <x:mergeCell ref="I38:K38"/>
    <x:mergeCell ref="C39:D39"/>
    <x:mergeCell ref="E39:F39"/>
    <x:mergeCell ref="G39:H39"/>
    <x:mergeCell ref="I39:K39"/>
    <x:mergeCell ref="A41:L41"/>
    <x:mergeCell ref="A48:L48"/>
    <x:mergeCell ref="A63:L63"/>
    <x:mergeCell ref="B77:L77"/>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8.6796875" defaultRowHeight="15"/>
  <x:cols>
    <x:col min="1" max="1" width="24" hidden="0" customWidth="1"/>
    <x:col min="2" max="10" width="13" hidden="0" customWidth="1"/>
    <x:col min="11" max="11" width="14" hidden="0" customWidth="1"/>
    <x:col min="12" max="12" width="12" hidden="0" customWidth="1"/>
  </x:cols>
  <x:sheetData>
    <x:row r="1" ht="21.75" hidden="0" customHeight="1">
      <x:c r="A1" s="1" t="s">
        <x:v>893</x:v>
      </x:c>
      <x:c r="B1" s="1"/>
      <x:c r="C1" s="1"/>
      <x:c r="D1" s="1"/>
      <x:c r="E1" s="1"/>
      <x:c r="F1" s="1"/>
      <x:c r="G1" s="1"/>
      <x:c r="H1" s="1"/>
      <x:c r="I1" s="1"/>
      <x:c r="J1" s="1"/>
      <x:c r="K1" s="1"/>
      <x:c r="L1" s="1"/>
    </x:row>
    <x:row r="2" ht="15" hidden="0">
      <x:c r="A2" s="6" t="s">
        <x:v>894</x:v>
      </x:c>
    </x:row>
    <x:row r="3" ht="27.75" hidden="0" customHeight="1">
      <x:c r="A3" s="2" t="s">
        <x:v>895</x:v>
      </x:c>
      <x:c r="B3" s="2" t="s">
        <x:v>587</x:v>
      </x:c>
      <x:c r="C3" s="2" t="s">
        <x:v>588</x:v>
      </x:c>
      <x:c r="D3" s="2" t="s">
        <x:v>589</x:v>
      </x:c>
      <x:c r="E3" s="2" t="s">
        <x:v>590</x:v>
      </x:c>
      <x:c r="F3" s="2" t="s">
        <x:v>591</x:v>
      </x:c>
      <x:c r="G3" s="2" t="s">
        <x:v>592</x:v>
      </x:c>
      <x:c r="H3" s="2" t="s">
        <x:v>593</x:v>
      </x:c>
      <x:c r="I3" s="2" t="s">
        <x:v>594</x:v>
      </x:c>
      <x:c r="J3" s="2" t="s">
        <x:v>896</x:v>
      </x:c>
      <x:c r="K3" s="2" t="s">
        <x:v>897</x:v>
      </x:c>
      <x:c r="L3" s="2" t="s">
        <x:v>898</x:v>
      </x:c>
    </x:row>
    <x:row r="4" ht="15" hidden="0">
      <x:c r="A4" s="6" t="s">
        <x:v>654</x:v>
      </x:c>
      <x:c r="B4" s="12" t="n">
        <x:v>3311.4642</x:v>
      </x:c>
      <x:c r="C4" s="12" t="n">
        <x:v>0</x:v>
      </x:c>
      <x:c r="D4" s="12" t="n">
        <x:v>0</x:v>
      </x:c>
      <x:c r="E4" s="12" t="n">
        <x:v>0</x:v>
      </x:c>
      <x:c r="F4" s="12" t="n">
        <x:v>0</x:v>
      </x:c>
      <x:c r="G4" s="12" t="n">
        <x:v>0</x:v>
      </x:c>
      <x:c r="H4" s="12" t="n">
        <x:v>0</x:v>
      </x:c>
      <x:c r="I4" s="12" t="n">
        <x:v>0</x:v>
      </x:c>
      <x:c r="J4" s="15" t="n">
        <x:f aca="0">SUM(B4:I4)</x:f>
        <x:v>3311.4642</x:v>
      </x:c>
      <x:c r="K4" s="29" t="n">
        <x:f aca="0">A2_Derivasi!C63*A2_Derivasi!$C$8</x:f>
        <x:v>3311.3188980388827</x:v>
      </x:c>
      <x:c r="L4" s="11" t="str">
        <x:f aca="0">IF(J4&lt;=K4+0.5,"OK","LANGGAR")</x:f>
        <x:v>OK</x:v>
      </x:c>
    </x:row>
    <x:row r="5" ht="15" hidden="0">
      <x:c r="A5" s="6" t="s">
        <x:v>656</x:v>
      </x:c>
      <x:c r="B5" s="12" t="n">
        <x:v>5261.84357820986</x:v>
      </x:c>
      <x:c r="C5" s="12" t="n">
        <x:v>3105.95627629204</x:v>
      </x:c>
      <x:c r="D5" s="12" t="n">
        <x:v>3727.14753155045</x:v>
      </x:c>
      <x:c r="E5" s="12" t="n">
        <x:v>604.449382249049</x:v>
      </x:c>
      <x:c r="F5" s="12" t="n">
        <x:v>3478.67102944708</x:v>
      </x:c>
      <x:c r="G5" s="12" t="n">
        <x:v>3105.95627629204</x:v>
      </x:c>
      <x:c r="H5" s="12" t="n">
        <x:v>1148.54121822245</x:v>
      </x:c>
      <x:c r="I5" s="12" t="n">
        <x:v>0</x:v>
      </x:c>
      <x:c r="J5" s="15" t="n">
        <x:f aca="0">SUM(B5:I5)</x:f>
        <x:v>20432.56529226297</x:v>
      </x:c>
      <x:c r="K5" s="29" t="n">
        <x:f aca="0">A2_Derivasi!C64*A2_Derivasi!$C$8</x:f>
        <x:v>23417.273940911793</x:v>
      </x:c>
      <x:c r="L5" s="11" t="str">
        <x:f aca="0">IF(J5&lt;=K5+0.5,"OK","LANGGAR")</x:f>
        <x:v>OK</x:v>
      </x:c>
    </x:row>
    <x:row r="6" ht="15" hidden="0">
      <x:c r="A6" s="6" t="s">
        <x:v>657</x:v>
      </x:c>
      <x:c r="B6" s="12" t="n">
        <x:v>0</x:v>
      </x:c>
      <x:c r="C6" s="12" t="n">
        <x:v>0</x:v>
      </x:c>
      <x:c r="D6" s="12" t="n">
        <x:v>0</x:v>
      </x:c>
      <x:c r="E6" s="12" t="n">
        <x:v>3589.0932</x:v>
      </x:c>
      <x:c r="F6" s="12" t="n">
        <x:v>0</x:v>
      </x:c>
      <x:c r="G6" s="12" t="n">
        <x:v>0</x:v>
      </x:c>
      <x:c r="H6" s="12" t="n">
        <x:v>0</x:v>
      </x:c>
      <x:c r="I6" s="12" t="n">
        <x:v>0</x:v>
      </x:c>
      <x:c r="J6" s="15" t="n">
        <x:f aca="0">SUM(B6:I6)</x:f>
        <x:v>3589.0932</x:v>
      </x:c>
      <x:c r="K6" s="29" t="n">
        <x:f aca="0">A2_Derivasi!C65*A2_Derivasi!$C$8</x:f>
        <x:v>3588.935716104933</x:v>
      </x:c>
      <x:c r="L6" s="11" t="str">
        <x:f aca="0">IF(J6&lt;=K6+0.5,"OK","LANGGAR")</x:f>
        <x:v>OK</x:v>
      </x:c>
    </x:row>
    <x:row r="7" ht="15" hidden="0">
      <x:c r="A7" s="6" t="s">
        <x:v>658</x:v>
      </x:c>
      <x:c r="B7" s="12" t="n">
        <x:v>0</x:v>
      </x:c>
      <x:c r="C7" s="12" t="n">
        <x:v>0</x:v>
      </x:c>
      <x:c r="D7" s="12" t="n">
        <x:v>0</x:v>
      </x:c>
      <x:c r="E7" s="12" t="n">
        <x:v>1092.795</x:v>
      </x:c>
      <x:c r="F7" s="12" t="n">
        <x:v>0</x:v>
      </x:c>
      <x:c r="G7" s="12" t="n">
        <x:v>0</x:v>
      </x:c>
      <x:c r="H7" s="12" t="n">
        <x:v>0</x:v>
      </x:c>
      <x:c r="I7" s="12" t="n">
        <x:v>0</x:v>
      </x:c>
      <x:c r="J7" s="15" t="n">
        <x:f aca="0">SUM(B7:I7)</x:f>
        <x:v>1092.795</x:v>
      </x:c>
      <x:c r="K7" s="29" t="n">
        <x:f aca="0">A2_Derivasi!C66*A2_Derivasi!$C$8</x:f>
        <x:v>1092.7470498344512</x:v>
      </x:c>
      <x:c r="L7" s="11" t="str">
        <x:f aca="0">IF(J7&lt;=K7+0.5,"OK","LANGGAR")</x:f>
        <x:v>OK</x:v>
      </x:c>
    </x:row>
    <x:row r="9" ht="27.75" hidden="0" customHeight="1">
      <x:c r="A9" s="2" t="s">
        <x:v>899</x:v>
      </x:c>
      <x:c r="B9" s="2" t="s">
        <x:v>587</x:v>
      </x:c>
      <x:c r="C9" s="2" t="s">
        <x:v>588</x:v>
      </x:c>
      <x:c r="D9" s="2" t="s">
        <x:v>589</x:v>
      </x:c>
      <x:c r="E9" s="2" t="s">
        <x:v>590</x:v>
      </x:c>
      <x:c r="F9" s="2" t="s">
        <x:v>591</x:v>
      </x:c>
      <x:c r="G9" s="2" t="s">
        <x:v>592</x:v>
      </x:c>
      <x:c r="H9" s="2" t="s">
        <x:v>593</x:v>
      </x:c>
      <x:c r="I9" s="2" t="s">
        <x:v>594</x:v>
      </x:c>
      <x:c r="J9" s="2" t="s">
        <x:v>393</x:v>
      </x:c>
    </x:row>
    <x:row r="10" ht="15" hidden="0">
      <x:c r="A10" s="6" t="s">
        <x:v>900</x:v>
      </x:c>
      <x:c r="B10" s="15" t="n">
        <x:f aca="0">SUM(B4:B7)</x:f>
        <x:v>8573.30777820986</x:v>
      </x:c>
      <x:c r="C10" s="15" t="n">
        <x:f aca="0">SUM(C4:C7)</x:f>
        <x:v>3105.95627629204</x:v>
      </x:c>
      <x:c r="D10" s="15" t="n">
        <x:f aca="0">SUM(D4:D7)</x:f>
        <x:v>3727.14753155045</x:v>
      </x:c>
      <x:c r="E10" s="15" t="n">
        <x:f aca="0">SUM(E4:E7)</x:f>
        <x:v>5286.337582249049</x:v>
      </x:c>
      <x:c r="F10" s="15" t="n">
        <x:f aca="0">SUM(F4:F7)</x:f>
        <x:v>3478.67102944708</x:v>
      </x:c>
      <x:c r="G10" s="15" t="n">
        <x:f aca="0">SUM(G4:G7)</x:f>
        <x:v>3105.95627629204</x:v>
      </x:c>
      <x:c r="H10" s="15" t="n">
        <x:f aca="0">SUM(H4:H7)</x:f>
        <x:v>1148.54121822245</x:v>
      </x:c>
      <x:c r="I10" s="15" t="n">
        <x:f aca="0">SUM(I4:I7)</x:f>
        <x:v>0</x:v>
      </x:c>
      <x:c r="J10" s="20" t="n">
        <x:f aca="0">SUM(B10:I10)</x:f>
        <x:v>28425.91769226297</x:v>
      </x:c>
    </x:row>
    <x:row r="11" ht="15" hidden="0">
      <x:c r="A11" s="6" t="s">
        <x:v>641</x:v>
      </x:c>
      <x:c r="B11" s="32" t="n">
        <x:f aca="0">A2_Derivasi!C51</x:f>
        <x:v>0.6317716018314603</x:v>
      </x:c>
      <x:c r="C11" s="32" t="n">
        <x:f aca="0">A2_Derivasi!D51</x:f>
        <x:v>0.5116217862667033</x:v>
      </x:c>
      <x:c r="D11" s="32" t="n">
        <x:f aca="0">A2_Derivasi!E51</x:f>
        <x:v>0.5116217862667033</x:v>
      </x:c>
      <x:c r="E11" s="32" t="n">
        <x:f aca="0">A2_Derivasi!F51</x:f>
        <x:v>0.5116217862667033</x:v>
      </x:c>
      <x:c r="F11" s="32" t="n">
        <x:f aca="0">A2_Derivasi!G51</x:f>
        <x:v>0.5116217862667033</x:v>
      </x:c>
      <x:c r="G11" s="32" t="n">
        <x:f aca="0">A2_Derivasi!H51</x:f>
        <x:v>0.5116217862667033</x:v>
      </x:c>
      <x:c r="H11" s="32" t="n">
        <x:f aca="0">A2_Derivasi!I51</x:f>
        <x:v>0.5423693558956552</x:v>
      </x:c>
      <x:c r="I11" s="32" t="n">
        <x:f aca="0">A2_Derivasi!J51</x:f>
        <x:v>0.662895879428023</x:v>
      </x:c>
    </x:row>
    <x:row r="12" ht="15" hidden="0">
      <x:c r="A12" s="6" t="s">
        <x:v>901</x:v>
      </x:c>
      <x:c r="B12" s="21" t="n">
        <x:f aca="0">B10*B11</x:f>
        <x:v>5416.372388033762</x:v>
      </x:c>
      <x:c r="C12" s="21" t="n">
        <x:f aca="0">C10*C11</x:f>
        <x:v>1589.0748981428117</x:v>
      </x:c>
      <x:c r="D12" s="21" t="n">
        <x:f aca="0">D10*D11</x:f>
        <x:v>1906.889877771375</x:v>
      </x:c>
      <x:c r="E12" s="21" t="n">
        <x:f aca="0">E10*E11</x:f>
        <x:v>2704.605476639064</x:v>
      </x:c>
      <x:c r="F12" s="21" t="n">
        <x:f aca="0">F10*F11</x:f>
        <x:v>1779.7638859199467</x:v>
      </x:c>
      <x:c r="G12" s="21" t="n">
        <x:f aca="0">G10*G11</x:f>
        <x:v>1589.0748981428117</x:v>
      </x:c>
      <x:c r="H12" s="21" t="n">
        <x:f aca="0">H10*H11</x:f>
        <x:v>622.9335607469213</x:v>
      </x:c>
      <x:c r="I12" s="21" t="n">
        <x:f aca="0">I10*I11</x:f>
        <x:v>0</x:v>
      </x:c>
      <x:c r="J12" s="21" t="n">
        <x:f aca="0">SUM(B12:I12)</x:f>
        <x:v>15608.714985396693</x:v>
      </x:c>
    </x:row>
    <x:row r="13" ht="15" hidden="0">
      <x:c r="A13" s="6" t="s">
        <x:v>609</x:v>
      </x:c>
      <x:c r="B13" s="29" t="n">
        <x:f aca="0">A2_Derivasi!C27</x:f>
        <x:v>5416.22</x:v>
      </x:c>
      <x:c r="C13" s="29" t="n">
        <x:f aca="0">A2_Derivasi!D27</x:f>
        <x:v>2270</x:v>
      </x:c>
      <x:c r="D13" s="29" t="n">
        <x:f aca="0">A2_Derivasi!E27</x:f>
        <x:v>2724</x:v>
      </x:c>
      <x:c r="E13" s="29" t="n">
        <x:f aca="0">A2_Derivasi!F27</x:f>
        <x:v>3863.54</x:v>
      </x:c>
      <x:c r="F13" s="29" t="n">
        <x:f aca="0">A2_Derivasi!G27</x:f>
        <x:v>2542.4</x:v>
      </x:c>
      <x:c r="G13" s="29" t="n">
        <x:f aca="0">A2_Derivasi!H27</x:f>
        <x:v>2270</x:v>
      </x:c>
      <x:c r="H13" s="29" t="n">
        <x:f aca="0">A2_Derivasi!I27</x:f>
        <x:v>889.84</x:v>
      </x:c>
      <x:c r="I13" s="29" t="n">
        <x:f aca="0">A2_Derivasi!J27</x:f>
        <x:v>0</x:v>
      </x:c>
    </x:row>
    <x:row r="14" ht="15" hidden="0">
      <x:c r="A14" s="6" t="s">
        <x:v>902</x:v>
      </x:c>
      <x:c r="B14" s="15" t="n">
        <x:f aca="0">B13*A1_Kendali!$B$4</x:f>
        <x:v>3791.354</x:v>
      </x:c>
      <x:c r="C14" s="15" t="n">
        <x:f aca="0">C13*A1_Kendali!$B$4</x:f>
        <x:v>1589</x:v>
      </x:c>
      <x:c r="D14" s="15" t="n">
        <x:f aca="0">D13*A1_Kendali!$B$4</x:f>
        <x:v>1906.8</x:v>
      </x:c>
      <x:c r="E14" s="15" t="n">
        <x:f aca="0">E13*A1_Kendali!$B$4</x:f>
        <x:v>2704.4779999999996</x:v>
      </x:c>
      <x:c r="F14" s="15" t="n">
        <x:f aca="0">F13*A1_Kendali!$B$4</x:f>
        <x:v>1779.68</x:v>
      </x:c>
      <x:c r="G14" s="15" t="n">
        <x:f aca="0">G13*A1_Kendali!$B$4</x:f>
        <x:v>1589</x:v>
      </x:c>
      <x:c r="H14" s="15" t="n">
        <x:f aca="0">H13*A1_Kendali!$B$4</x:f>
        <x:v>622.888</x:v>
      </x:c>
      <x:c r="I14" s="15" t="n">
        <x:f aca="0">I13*A1_Kendali!$B$4</x:f>
        <x:v>0</x:v>
      </x:c>
    </x:row>
    <x:row r="15" ht="15" hidden="0">
      <x:c r="A15" s="6" t="s">
        <x:v>903</x:v>
      </x:c>
      <x:c r="B15" s="29" t="n">
        <x:f aca="0">A2_Derivasi!C90</x:f>
        <x:v>72813.48196315505</x:v>
      </x:c>
      <x:c r="C15" s="29" t="n">
        <x:f aca="0">A2_Derivasi!D90</x:f>
        <x:v>-18053.398759373224</x:v>
      </x:c>
      <x:c r="D15" s="29" t="n">
        <x:f aca="0">A2_Derivasi!E90</x:f>
        <x:v>-9683.158064557378</x:v>
      </x:c>
      <x:c r="E15" s="29" t="n">
        <x:f aca="0">A2_Derivasi!F90</x:f>
        <x:v>-7821.1746057142345</x:v>
      </x:c>
      <x:c r="F15" s="29" t="n">
        <x:f aca="0">A2_Derivasi!G90</x:f>
        <x:v>-7819.345904505345</x:v>
      </x:c>
      <x:c r="G15" s="29" t="n">
        <x:f aca="0">A2_Derivasi!H90</x:f>
        <x:v>-13339.550374207987</x:v>
      </x:c>
      <x:c r="H15" s="29" t="n">
        <x:f aca="0">A2_Derivasi!I90</x:f>
        <x:v>-30127.768233275812</x:v>
      </x:c>
      <x:c r="I15" s="29" t="n">
        <x:f aca="0">A2_Derivasi!J90</x:f>
        <x:v>-34605.241159816935</x:v>
      </x:c>
    </x:row>
    <x:row r="16" ht="15" hidden="0">
      <x:c r="A16" s="6" t="s">
        <x:v>904</x:v>
      </x:c>
      <x:c r="B16" s="15" t="n">
        <x:f aca="0">B10*B15</x:f>
        <x:v>624252391.2732606</x:v>
      </x:c>
      <x:c r="C16" s="15" t="n">
        <x:f aca="0">C10*C15</x:f>
        <x:v>-56073067.18507819</x:v>
      </x:c>
      <x:c r="D16" s="15" t="n">
        <x:f aca="0">D10*D15</x:f>
        <x:v>-36090558.67792786</x:v>
      </x:c>
      <x:c r="E16" s="15" t="n">
        <x:f aca="0">E10*E15</x:f>
        <x:v>-41345369.25551905</x:v>
      </x:c>
      <x:c r="F16" s="15" t="n">
        <x:f aca="0">F10*F15</x:f>
        <x:v>-27200932.067228418</x:v>
      </x:c>
      <x:c r="G16" s="15" t="n">
        <x:f aca="0">G10*G15</x:f>
        <x:v>-41432060.20768513</x:v>
      </x:c>
      <x:c r="H16" s="15" t="n">
        <x:f aca="0">H10*H15</x:f>
        <x:v>-34602983.62897023</x:v>
      </x:c>
      <x:c r="I16" s="15" t="n">
        <x:f aca="0">I10*I15</x:f>
        <x:v>0</x:v>
      </x:c>
      <x:c r="J16" s="20" t="n">
        <x:f aca="0">SUM(B16:I16)</x:f>
        <x:v>387507420.2508518</x:v>
      </x:c>
    </x:row>
    <x:row r="17" ht="15" hidden="0">
      <x:c r="A17" s="6" t="s">
        <x:v>905</x:v>
      </x:c>
      <x:c r="B17" s="27" t="n">
        <x:f aca="0">B12*A3_Energi!C60</x:f>
        <x:v>3445.5550226487035</x:v>
      </x:c>
      <x:c r="C17" s="27" t="n">
        <x:f aca="0">C12*A3_Energi!D60</x:f>
        <x:v>672.8305243220983</x:v>
      </x:c>
      <x:c r="D17" s="27" t="n">
        <x:f aca="0">D12*A3_Energi!E60</x:f>
        <x:v>790.7383608152574</x:v>
      </x:c>
      <x:c r="E17" s="27" t="n">
        <x:f aca="0">E12*A3_Energi!F60</x:f>
        <x:v>1107.1277963159423</x:v>
      </x:c>
      <x:c r="F17" s="27" t="n">
        <x:f aca="0">F12*A3_Energi!G60</x:f>
        <x:v>722.8380638797694</x:v>
      </x:c>
      <x:c r="G17" s="27" t="n">
        <x:f aca="0">G12*A3_Energi!H60</x:f>
        <x:v>487.59269229514973</x:v>
      </x:c>
      <x:c r="H17" s="27" t="n">
        <x:f aca="0">H12*A3_Energi!I60</x:f>
        <x:v>290.5275729554889</x:v>
      </x:c>
      <x:c r="I17" s="27" t="n">
        <x:f aca="0">I12*A3_Energi!J60</x:f>
        <x:v>0</x:v>
      </x:c>
      <x:c r="J17" s="33" t="n">
        <x:f aca="0">SUM(B17:I17)</x:f>
        <x:v>7517.21003323241</x:v>
      </x:c>
    </x:row>
    <x:row r="19" ht="15" hidden="0">
      <x:c r="A19" s="5" t="s">
        <x:v>906</x:v>
      </x:c>
    </x:row>
    <x:row r="20" ht="27.75" hidden="0" customHeight="1">
      <x:c r="A20" s="2" t="s">
        <x:v>907</x:v>
      </x:c>
      <x:c r="B20" s="2" t="s">
        <x:v>523</x:v>
      </x:c>
      <x:c r="C20" s="2" t="s">
        <x:v>908</x:v>
      </x:c>
      <x:c r="D20" s="2" t="s">
        <x:v>909</x:v>
      </x:c>
      <x:c r="E20" s="2" t="s">
        <x:v>898</x:v>
      </x:c>
      <x:c r="F20" s="2" t="s">
        <x:v>910</x:v>
      </x:c>
    </x:row>
    <x:row r="21" ht="35.04999923706055" hidden="0">
      <x:c r="A21" s="6" t="s">
        <x:v>911</x:v>
      </x:c>
      <x:c r="B21" s="15" t="n">
        <x:f aca="0">J12</x:f>
        <x:v>15608.714985396693</x:v>
      </x:c>
      <x:c r="C21" s="11" t="s">
        <x:v>912</x:v>
      </x:c>
      <x:c r="D21" s="15" t="n">
        <x:f aca="0">A1_Kendali!$B$7</x:f>
        <x:v>19000</x:v>
      </x:c>
      <x:c r="E21" s="11" t="str">
        <x:f aca="0">IF(B21&lt;=D21+0.5,"OK","LANGGAR")</x:f>
        <x:v>OK</x:v>
      </x:c>
      <x:c r="F21" s="4" t="s">
        <x:v>913</x:v>
      </x:c>
    </x:row>
    <x:row r="22" ht="46.25" hidden="0">
      <x:c r="A22" s="6" t="s">
        <x:v>914</x:v>
      </x:c>
      <x:c r="B22" s="15" t="n">
        <x:f aca="0">J12</x:f>
        <x:v>15608.714985396693</x:v>
      </x:c>
      <x:c r="C22" s="11" t="s">
        <x:v>912</x:v>
      </x:c>
      <x:c r="D22" s="15" t="n">
        <x:f aca="0">A1_Kendali!$B$8*A1_Kendali!$B$6/26</x:f>
        <x:v>69230.76923076923</x:v>
      </x:c>
      <x:c r="E22" s="11" t="str">
        <x:f aca="0">IF(B22&lt;=D22+0.5,"OK","LANGGAR")</x:f>
        <x:v>OK</x:v>
      </x:c>
      <x:c r="F22" s="4" t="s">
        <x:v>915</x:v>
      </x:c>
    </x:row>
    <x:row r="23" ht="23.850000381469727" hidden="0">
      <x:c r="A23" s="6" t="s">
        <x:v>916</x:v>
      </x:c>
      <x:c r="B23" s="15" t="n">
        <x:f aca="0">J10/A2_Derivasi!$C$8</x:f>
        <x:v>48124.53873808532</x:v>
      </x:c>
      <x:c r="C23" s="11" t="s">
        <x:v>912</x:v>
      </x:c>
      <x:c r="D23" s="15" t="n">
        <x:f aca="0">A1_Kendali!$B$5*A1_Kendali!$B$6</x:f>
        <x:v>135000</x:v>
      </x:c>
      <x:c r="E23" s="11" t="str">
        <x:f aca="0">IF(B23&lt;=D23+0.5,"OK","LANGGAR")</x:f>
        <x:v>OK</x:v>
      </x:c>
      <x:c r="F23" s="4" t="s">
        <x:v>917</x:v>
      </x:c>
    </x:row>
    <x:row r="24" ht="23.850000381469727" hidden="0">
      <x:c r="A24" s="6" t="s">
        <x:v>918</x:v>
      </x:c>
      <x:c r="B24" s="15" t="n">
        <x:f aca="0">J17</x:f>
        <x:v>7517.21003323241</x:v>
      </x:c>
      <x:c r="C24" s="11" t="s">
        <x:v>912</x:v>
      </x:c>
      <x:c r="D24" s="15" t="n">
        <x:f aca="0">A1_Kendali!$B$15</x:f>
        <x:v>7517.21003323241</x:v>
      </x:c>
      <x:c r="E24" s="11" t="str">
        <x:f aca="0">IF(B24&lt;=D24+0.5,"OK","LANGGAR")</x:f>
        <x:v>OK</x:v>
      </x:c>
      <x:c r="F24" s="4" t="s">
        <x:v>919</x:v>
      </x:c>
    </x:row>
    <x:row r="25" ht="23.850000381469727" hidden="0">
      <x:c r="A25" s="6" t="s">
        <x:v>671</x:v>
      </x:c>
      <x:c r="B25" s="27" t="n">
        <x:f aca="0">J10/A2_Derivasi!$C$8/A1_Kendali!$B$5</x:f>
        <x:v>10.694341941796738</x:v>
      </x:c>
      <x:c r="C25" s="11" t="s">
        <x:v>912</x:v>
      </x:c>
      <x:c r="D25" s="27" t="n">
        <x:f aca="0">A1_Kendali!$B$6</x:f>
        <x:v>30</x:v>
      </x:c>
      <x:c r="E25" s="11" t="str">
        <x:f aca="0">IF(B25&lt;=D25+0.5,"OK","LANGGAR")</x:f>
        <x:v>OK</x:v>
      </x:c>
      <x:c r="F25" s="4" t="s">
        <x:v>920</x:v>
      </x:c>
    </x:row>
    <x:row r="27" ht="15" hidden="0">
      <x:c r="A27" s="6" t="s">
        <x:v>921</x:v>
      </x:c>
      <x:c r="B27" s="21" t="n">
        <x:f aca="0">J16</x:f>
        <x:v>387507420.2508518</x:v>
      </x:c>
    </x:row>
    <x:row r="28" ht="15" hidden="0">
      <x:c r="A28" s="6" t="s">
        <x:v>922</x:v>
      </x:c>
      <x:c r="B28" s="29" t="n">
        <x:f aca="0">A2_Derivasi!K91</x:f>
        <x:v>286044952.97285146</x:v>
      </x:c>
    </x:row>
    <x:row r="29" ht="15" hidden="0">
      <x:c r="A29" s="6" t="s">
        <x:v>923</x:v>
      </x:c>
      <x:c r="B29" s="20" t="n">
        <x:f aca="0">B27-B28</x:f>
        <x:v>101462467.27800035</x:v>
      </x:c>
      <x:c r="C29" s="17" t="n">
        <x:f aca="0">B27/B28-1</x:f>
        <x:v>0.3547081192082078</x:v>
      </x:c>
    </x:row>
    <x:row r="31" ht="15" hidden="0">
      <x:c r="A31" s="6" t="s">
        <x:v>924</x:v>
      </x:c>
    </x:row>
    <x:row r="32" ht="27.75" hidden="0" customHeight="1">
      <x:c r="A32" s="2" t="s">
        <x:v>925</x:v>
      </x:c>
      <x:c r="B32" s="2" t="s">
        <x:v>587</x:v>
      </x:c>
      <x:c r="C32" s="2" t="s">
        <x:v>588</x:v>
      </x:c>
      <x:c r="D32" s="2" t="s">
        <x:v>589</x:v>
      </x:c>
      <x:c r="E32" s="2" t="s">
        <x:v>590</x:v>
      </x:c>
      <x:c r="F32" s="2" t="s">
        <x:v>591</x:v>
      </x:c>
      <x:c r="G32" s="2" t="s">
        <x:v>592</x:v>
      </x:c>
      <x:c r="H32" s="2" t="s">
        <x:v>593</x:v>
      </x:c>
      <x:c r="I32" s="2" t="s">
        <x:v>594</x:v>
      </x:c>
      <x:c r="J32" s="2" t="s">
        <x:v>926</x:v>
      </x:c>
    </x:row>
    <x:row r="33" ht="35.04999923706055" hidden="0">
      <x:c r="A33" s="6" t="s">
        <x:v>654</x:v>
      </x:c>
      <x:c r="B33" s="40" t="n">
        <x:v>1</x:v>
      </x:c>
      <x:c r="C33" s="40" t="n">
        <x:v>1</x:v>
      </x:c>
      <x:c r="D33" s="40" t="n">
        <x:v>1</x:v>
      </x:c>
      <x:c r="E33" s="40" t="n">
        <x:v>1</x:v>
      </x:c>
      <x:c r="F33" s="40" t="n">
        <x:v>1</x:v>
      </x:c>
      <x:c r="G33" s="40" t="n">
        <x:v>1</x:v>
      </x:c>
      <x:c r="H33" s="40" t="n">
        <x:v>1</x:v>
      </x:c>
      <x:c r="I33" s="40" t="n">
        <x:v>1</x:v>
      </x:c>
      <x:c r="J33" s="4" t="s">
        <x:v>927</x:v>
      </x:c>
    </x:row>
    <x:row r="34" ht="35.04999923706055" hidden="0">
      <x:c r="A34" s="6" t="s">
        <x:v>656</x:v>
      </x:c>
      <x:c r="B34" s="40" t="n">
        <x:v>1</x:v>
      </x:c>
      <x:c r="C34" s="40" t="n">
        <x:v>1</x:v>
      </x:c>
      <x:c r="D34" s="40" t="n">
        <x:v>1</x:v>
      </x:c>
      <x:c r="E34" s="40" t="n">
        <x:v>1</x:v>
      </x:c>
      <x:c r="F34" s="40" t="n">
        <x:v>1</x:v>
      </x:c>
      <x:c r="G34" s="40" t="n">
        <x:v>1</x:v>
      </x:c>
      <x:c r="H34" s="40" t="n">
        <x:v>1</x:v>
      </x:c>
      <x:c r="I34" s="40" t="n">
        <x:v>1</x:v>
      </x:c>
      <x:c r="J34" s="4" t="s">
        <x:v>928</x:v>
      </x:c>
    </x:row>
    <x:row r="35" ht="79.8499984741211" hidden="0">
      <x:c r="A35" s="6" t="s">
        <x:v>657</x:v>
      </x:c>
      <x:c r="B35" s="41" t="n">
        <x:v>0</x:v>
      </x:c>
      <x:c r="C35" s="40" t="n">
        <x:v>1</x:v>
      </x:c>
      <x:c r="D35" s="40" t="n">
        <x:v>1</x:v>
      </x:c>
      <x:c r="E35" s="40" t="n">
        <x:v>1</x:v>
      </x:c>
      <x:c r="F35" s="40" t="n">
        <x:v>1</x:v>
      </x:c>
      <x:c r="G35" s="40" t="n">
        <x:v>1</x:v>
      </x:c>
      <x:c r="H35" s="40" t="n">
        <x:v>1</x:v>
      </x:c>
      <x:c r="I35" s="40" t="n">
        <x:v>1</x:v>
      </x:c>
      <x:c r="J35" s="4" t="s">
        <x:v>929</x:v>
      </x:c>
    </x:row>
    <x:row r="36" ht="23.850000381469727" hidden="0">
      <x:c r="A36" s="6" t="s">
        <x:v>658</x:v>
      </x:c>
      <x:c r="B36" s="41" t="n">
        <x:v>0</x:v>
      </x:c>
      <x:c r="C36" s="40" t="n">
        <x:v>1</x:v>
      </x:c>
      <x:c r="D36" s="40" t="n">
        <x:v>1</x:v>
      </x:c>
      <x:c r="E36" s="40" t="n">
        <x:v>1</x:v>
      </x:c>
      <x:c r="F36" s="40" t="n">
        <x:v>1</x:v>
      </x:c>
      <x:c r="G36" s="40" t="n">
        <x:v>1</x:v>
      </x:c>
      <x:c r="H36" s="40" t="n">
        <x:v>1</x:v>
      </x:c>
      <x:c r="I36" s="40" t="n">
        <x:v>1</x:v>
      </x:c>
      <x:c r="J36" s="4" t="s">
        <x:v>930</x:v>
      </x:c>
    </x:row>
    <x:row r="38" ht="102.19999694824219" hidden="0">
      <x:c r="A38" s="37" t="s">
        <x:v>931</x:v>
      </x:c>
    </x:row>
  </x:sheetData>
  <x:mergeCells>
    <x:mergeCell ref="A1:L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8.6796875" defaultRowHeight="15"/>
  <x:cols>
    <x:col min="1" max="1" width="6" hidden="0" customWidth="1"/>
    <x:col min="2" max="2" width="12" hidden="0" customWidth="1"/>
    <x:col min="3" max="3" width="18" hidden="0" customWidth="1"/>
    <x:col min="4" max="6" width="16" hidden="0" customWidth="1"/>
    <x:col min="7" max="7" width="18" hidden="0" customWidth="1"/>
    <x:col min="8" max="8" width="20" hidden="0" customWidth="1"/>
    <x:col min="9" max="11" width="12" hidden="0" customWidth="1"/>
    <x:col min="12" max="12" width="52" hidden="0" customWidth="1"/>
  </x:cols>
  <x:sheetData>
    <x:row r="1" ht="21.75" hidden="0" customHeight="1">
      <x:c r="A1" s="1" t="s">
        <x:v>932</x:v>
      </x:c>
      <x:c r="B1" s="1"/>
      <x:c r="C1" s="1"/>
      <x:c r="D1" s="1"/>
      <x:c r="E1" s="1"/>
      <x:c r="F1" s="1"/>
      <x:c r="G1" s="1"/>
      <x:c r="H1" s="1"/>
      <x:c r="I1" s="1"/>
      <x:c r="J1" s="1"/>
      <x:c r="K1" s="1"/>
      <x:c r="L1" s="1"/>
    </x:row>
    <x:row r="2" ht="31.5" hidden="0" customHeight="1">
      <x:c r="A2" s="37" t="s">
        <x:v>933</x:v>
      </x:c>
      <x:c r="B2" s="37"/>
      <x:c r="C2" s="37"/>
      <x:c r="D2" s="37"/>
      <x:c r="E2" s="37"/>
      <x:c r="F2" s="37"/>
      <x:c r="G2" s="37"/>
      <x:c r="H2" s="37"/>
      <x:c r="I2" s="37"/>
      <x:c r="J2" s="37"/>
      <x:c r="K2" s="37"/>
      <x:c r="L2" s="37"/>
    </x:row>
    <x:row r="4" ht="27.75" hidden="0" customHeight="1">
      <x:c r="A4" s="2"/>
      <x:c r="B4" s="2" t="s">
        <x:v>934</x:v>
      </x:c>
      <x:c r="C4" s="2" t="s">
        <x:v>935</x:v>
      </x:c>
      <x:c r="D4" s="2" t="s">
        <x:v>936</x:v>
      </x:c>
      <x:c r="E4" s="2" t="s">
        <x:v>937</x:v>
      </x:c>
      <x:c r="F4" s="2" t="s">
        <x:v>938</x:v>
      </x:c>
      <x:c r="G4" s="2" t="s">
        <x:v>939</x:v>
      </x:c>
      <x:c r="H4" s="2" t="s">
        <x:v>940</x:v>
      </x:c>
      <x:c r="I4" s="2"/>
      <x:c r="J4" s="2"/>
      <x:c r="K4" s="2"/>
      <x:c r="L4" s="2" t="s">
        <x:v>771</x:v>
      </x:c>
    </x:row>
    <x:row r="5" ht="15" hidden="0">
      <x:c r="B5" s="42" t="n">
        <x:v>0</x:v>
      </x:c>
      <x:c r="C5" s="16" t="n">
        <x:f aca="0">B5*A2_Derivasi!$K$57</x:f>
        <x:v>0</x:v>
      </x:c>
      <x:c r="D5" s="16" t="n">
        <x:f aca="0">A2_Derivasi!$C$67-C5</x:f>
        <x:v>53177</x:v>
      </x:c>
      <x:c r="E5" s="16" t="n">
        <x:f aca="0">MAX(MIN(D5/A2_Derivasi!$C$52,(1-B5)*A2_Derivasi!$C$27),0)</x:f>
        <x:v>5416.22</x:v>
      </x:c>
      <x:c r="F5" s="16" t="n">
        <x:f aca="0">B5*A2_Derivasi!$K$27+E5</x:f>
        <x:v>5416.22</x:v>
      </x:c>
      <x:c r="G5" s="20" t="n">
        <x:f aca="0">B5*SUMPRODUCT(A2_Derivasi!$C$89:$J$89,A2_Derivasi!$C$27:$J$27)+E5*A2_Derivasi!$C$89</x:f>
        <x:v>624234828.1170259</x:v>
      </x:c>
      <x:c r="L5" s="37" t="s">
        <x:v>941</x:v>
      </x:c>
    </x:row>
    <x:row r="6" ht="15" hidden="0">
      <x:c r="B6" s="42" t="n">
        <x:v>0.1</x:v>
      </x:c>
      <x:c r="C6" s="16" t="n">
        <x:f aca="0">B6*A2_Derivasi!$K$57</x:f>
        <x:v>6252.611999999999</x:v>
      </x:c>
      <x:c r="D6" s="16" t="n">
        <x:f aca="0">A2_Derivasi!$C$67-C6</x:f>
        <x:v>46924.388</x:v>
      </x:c>
      <x:c r="E6" s="16" t="n">
        <x:f aca="0">MAX(MIN(D6/A2_Derivasi!$C$52,(1-B6)*A2_Derivasi!$C$27),0)</x:f>
        <x:v>4874.598</x:v>
      </x:c>
      <x:c r="F6" s="16" t="n">
        <x:f aca="0">B6*A2_Derivasi!$K$27+E6</x:f>
        <x:v>6872.198</x:v>
      </x:c>
      <x:c r="G6" s="20" t="n">
        <x:f aca="0">B6*SUMPRODUCT(A2_Derivasi!$C$89:$J$89,A2_Derivasi!$C$27:$J$27)+E6*A2_Derivasi!$C$89</x:f>
        <x:v>590415840.6026084</x:v>
      </x:c>
      <x:c r="H6" s="15" t="n">
        <x:f aca="0">(G5-G6)/((B6-B5)*100)</x:f>
        <x:v>3381898.751441741</x:v>
      </x:c>
    </x:row>
    <x:row r="7" ht="15" hidden="0">
      <x:c r="B7" s="42" t="n">
        <x:v>0.2</x:v>
      </x:c>
      <x:c r="C7" s="16" t="n">
        <x:f aca="0">B7*A2_Derivasi!$K$57</x:f>
        <x:v>12505.223999999998</x:v>
      </x:c>
      <x:c r="D7" s="16" t="n">
        <x:f aca="0">A2_Derivasi!$C$67-C7</x:f>
        <x:v>40671.776</x:v>
      </x:c>
      <x:c r="E7" s="16" t="n">
        <x:f aca="0">MAX(MIN(D7/A2_Derivasi!$C$52,(1-B7)*A2_Derivasi!$C$27),0)</x:f>
        <x:v>4332.976000000001</x:v>
      </x:c>
      <x:c r="F7" s="16" t="n">
        <x:f aca="0">B7*A2_Derivasi!$K$27+E7</x:f>
        <x:v>8328.176000000001</x:v>
      </x:c>
      <x:c r="G7" s="20" t="n">
        <x:f aca="0">B7*SUMPRODUCT(A2_Derivasi!$C$89:$J$89,A2_Derivasi!$C$27:$J$27)+E7*A2_Derivasi!$C$89</x:f>
        <x:v>556596853.088191</x:v>
      </x:c>
      <x:c r="H7" s="15" t="n">
        <x:f aca="0">(G6-G7)/((B7-B6)*100)</x:f>
        <x:v>3381898.751441741</x:v>
      </x:c>
    </x:row>
    <x:row r="8" ht="15" hidden="0">
      <x:c r="B8" s="42" t="n">
        <x:v>0.3</x:v>
      </x:c>
      <x:c r="C8" s="16" t="n">
        <x:f aca="0">B8*A2_Derivasi!$K$57</x:f>
        <x:v>18757.835999999996</x:v>
      </x:c>
      <x:c r="D8" s="16" t="n">
        <x:f aca="0">A2_Derivasi!$C$67-C8</x:f>
        <x:v>34419.164000000004</x:v>
      </x:c>
      <x:c r="E8" s="16" t="n">
        <x:f aca="0">MAX(MIN(D8/A2_Derivasi!$C$52,(1-B8)*A2_Derivasi!$C$27),0)</x:f>
        <x:v>3791.354</x:v>
      </x:c>
      <x:c r="F8" s="16" t="n">
        <x:f aca="0">B8*A2_Derivasi!$K$27+E8</x:f>
        <x:v>9784.154</x:v>
      </x:c>
      <x:c r="G8" s="20" t="n">
        <x:f aca="0">B8*SUMPRODUCT(A2_Derivasi!$C$89:$J$89,A2_Derivasi!$C$27:$J$27)+E8*A2_Derivasi!$C$89</x:f>
        <x:v>522777865.57377344</x:v>
      </x:c>
      <x:c r="H8" s="15" t="n">
        <x:f aca="0">(G7-G8)/((B8-B7)*100)</x:f>
        <x:v>3381898.7514417595</x:v>
      </x:c>
    </x:row>
    <x:row r="9" ht="15" hidden="0">
      <x:c r="B9" s="42" t="n">
        <x:v>0.4</x:v>
      </x:c>
      <x:c r="C9" s="16" t="n">
        <x:f aca="0">B9*A2_Derivasi!$K$57</x:f>
        <x:v>25010.447999999997</x:v>
      </x:c>
      <x:c r="D9" s="16" t="n">
        <x:f aca="0">A2_Derivasi!$C$67-C9</x:f>
        <x:v>28166.552000000003</x:v>
      </x:c>
      <x:c r="E9" s="16" t="n">
        <x:f aca="0">MAX(MIN(D9/A2_Derivasi!$C$52,(1-B9)*A2_Derivasi!$C$27),0)</x:f>
        <x:v>3249.732</x:v>
      </x:c>
      <x:c r="F9" s="16" t="n">
        <x:f aca="0">B9*A2_Derivasi!$K$27+E9</x:f>
        <x:v>11240.132000000001</x:v>
      </x:c>
      <x:c r="G9" s="20" t="n">
        <x:f aca="0">B9*SUMPRODUCT(A2_Derivasi!$C$89:$J$89,A2_Derivasi!$C$27:$J$27)+E9*A2_Derivasi!$C$89</x:f>
        <x:v>488958878.0593561</x:v>
      </x:c>
      <x:c r="H9" s="15" t="n">
        <x:f aca="0">(G8-G9)/((B9-B8)*100)</x:f>
        <x:v>3381898.751441734</x:v>
      </x:c>
    </x:row>
    <x:row r="10" ht="15" hidden="0">
      <x:c r="B10" s="42" t="n">
        <x:v>0.5</x:v>
      </x:c>
      <x:c r="C10" s="16" t="n">
        <x:f aca="0">B10*A2_Derivasi!$K$57</x:f>
        <x:v>31263.059999999994</x:v>
      </x:c>
      <x:c r="D10" s="16" t="n">
        <x:f aca="0">A2_Derivasi!$C$67-C10</x:f>
        <x:v>21913.940000000006</x:v>
      </x:c>
      <x:c r="E10" s="16" t="n">
        <x:f aca="0">MAX(MIN(D10/A2_Derivasi!$C$52,(1-B10)*A2_Derivasi!$C$27),0)</x:f>
        <x:v>2708.11</x:v>
      </x:c>
      <x:c r="F10" s="16" t="n">
        <x:f aca="0">B10*A2_Derivasi!$K$27+E10</x:f>
        <x:v>12696.110000000002</x:v>
      </x:c>
      <x:c r="G10" s="20" t="n">
        <x:f aca="0">B10*SUMPRODUCT(A2_Derivasi!$C$89:$J$89,A2_Derivasi!$C$27:$J$27)+E10*A2_Derivasi!$C$89</x:f>
        <x:v>455139890.5449387</x:v>
      </x:c>
      <x:c r="H10" s="15" t="n">
        <x:f aca="0">(G9-G10)/((B10-B9)*100)</x:f>
        <x:v>3381898.7514417414</x:v>
      </x:c>
    </x:row>
    <x:row r="11" ht="15" hidden="0">
      <x:c r="B11" s="42" t="n">
        <x:v>0.6</x:v>
      </x:c>
      <x:c r="C11" s="16" t="n">
        <x:f aca="0">B11*A2_Derivasi!$K$57</x:f>
        <x:v>37515.67199999999</x:v>
      </x:c>
      <x:c r="D11" s="16" t="n">
        <x:f aca="0">A2_Derivasi!$C$67-C11</x:f>
        <x:v>15661.328000000009</x:v>
      </x:c>
      <x:c r="E11" s="16" t="n">
        <x:f aca="0">MAX(MIN(D11/A2_Derivasi!$C$52,(1-B11)*A2_Derivasi!$C$27),0)</x:f>
        <x:v>2166.4880000000003</x:v>
      </x:c>
      <x:c r="F11" s="16" t="n">
        <x:f aca="0">B11*A2_Derivasi!$K$27+E11</x:f>
        <x:v>14152.088000000003</x:v>
      </x:c>
      <x:c r="G11" s="20" t="n">
        <x:f aca="0">B11*SUMPRODUCT(A2_Derivasi!$C$89:$J$89,A2_Derivasi!$C$27:$J$27)+E11*A2_Derivasi!$C$89</x:f>
        <x:v>421320903.0305212</x:v>
      </x:c>
      <x:c r="H11" s="15" t="n">
        <x:f aca="0">(G10-G11)/((B11-B10)*100)</x:f>
        <x:v>3381898.7514417474</x:v>
      </x:c>
    </x:row>
    <x:row r="12" ht="15" hidden="0">
      <x:c r="B12" s="42" t="n">
        <x:v>0.7</x:v>
      </x:c>
      <x:c r="C12" s="16" t="n">
        <x:f aca="0">B12*A2_Derivasi!$K$57</x:f>
        <x:v>43768.28399999999</x:v>
      </x:c>
      <x:c r="D12" s="16" t="n">
        <x:f aca="0">A2_Derivasi!$C$67-C12</x:f>
        <x:v>9408.716000000008</x:v>
      </x:c>
      <x:c r="E12" s="16" t="n">
        <x:f aca="0">MAX(MIN(D12/A2_Derivasi!$C$52,(1-B12)*A2_Derivasi!$C$27),0)</x:f>
        <x:v>1624.8660000000002</x:v>
      </x:c>
      <x:c r="F12" s="16" t="n">
        <x:f aca="0">B12*A2_Derivasi!$K$27+E12</x:f>
        <x:v>15608.066000000003</x:v>
      </x:c>
      <x:c r="G12" s="21" t="n">
        <x:f aca="0">B12*SUMPRODUCT(A2_Derivasi!$C$89:$J$89,A2_Derivasi!$C$27:$J$27)+E12*A2_Derivasi!$C$89</x:f>
        <x:v>387501915.51610374</x:v>
      </x:c>
      <x:c r="H12" s="15" t="n">
        <x:f aca="0">(G11-G12)/((B12-B11)*100)</x:f>
        <x:v>3381898.7514417474</x:v>
      </x:c>
      <x:c r="L12" s="37" t="s">
        <x:v>942</x:v>
      </x:c>
    </x:row>
    <x:row r="13" ht="15" hidden="0">
      <x:c r="B13" s="42" t="n">
        <x:v>0.75</x:v>
      </x:c>
      <x:c r="C13" s="16" t="n">
        <x:f aca="0">B13*A2_Derivasi!$K$57</x:f>
        <x:v>46894.58999999999</x:v>
      </x:c>
      <x:c r="D13" s="16" t="n">
        <x:f aca="0">A2_Derivasi!$C$67-C13</x:f>
        <x:v>6282.410000000011</x:v>
      </x:c>
      <x:c r="E13" s="16" t="n">
        <x:f aca="0">MAX(MIN(D13/A2_Derivasi!$C$52,(1-B13)*A2_Derivasi!$C$27),0)</x:f>
        <x:v>1354.055</x:v>
      </x:c>
      <x:c r="F13" s="16" t="n">
        <x:f aca="0">B13*A2_Derivasi!$K$27+E13</x:f>
        <x:v>16336.055000000004</x:v>
      </x:c>
      <x:c r="G13" s="20" t="n">
        <x:f aca="0">B13*SUMPRODUCT(A2_Derivasi!$C$89:$J$89,A2_Derivasi!$C$27:$J$27)+E13*A2_Derivasi!$C$89</x:f>
        <x:v>370592421.75889504</x:v>
      </x:c>
      <x:c r="H13" s="15" t="n">
        <x:f aca="0">(G12-G13)/((B13-B12)*100)</x:f>
        <x:v>3381898.751441738</x:v>
      </x:c>
    </x:row>
    <x:row r="14" ht="15" hidden="0">
      <x:c r="B14" s="42" t="n">
        <x:v>0.8</x:v>
      </x:c>
      <x:c r="C14" s="16" t="n">
        <x:f aca="0">B14*A2_Derivasi!$K$57</x:f>
        <x:v>50020.89599999999</x:v>
      </x:c>
      <x:c r="D14" s="16" t="n">
        <x:f aca="0">A2_Derivasi!$C$67-C14</x:f>
        <x:v>3156.1040000000066</x:v>
      </x:c>
      <x:c r="E14" s="16" t="n">
        <x:f aca="0">MAX(MIN(D14/A2_Derivasi!$C$52,(1-B14)*A2_Derivasi!$C$27),0)</x:f>
        <x:v>1083.244</x:v>
      </x:c>
      <x:c r="F14" s="16" t="n">
        <x:f aca="0">B14*A2_Derivasi!$K$27+E14</x:f>
        <x:v>17064.044</x:v>
      </x:c>
      <x:c r="G14" s="20" t="n">
        <x:f aca="0">B14*SUMPRODUCT(A2_Derivasi!$C$89:$J$89,A2_Derivasi!$C$27:$J$27)+E14*A2_Derivasi!$C$89</x:f>
        <x:v>353682928.00168633</x:v>
      </x:c>
      <x:c r="H14" s="15" t="n">
        <x:f aca="0">(G13-G14)/((B14-B13)*100)</x:f>
        <x:v>3381898.751441738</x:v>
      </x:c>
      <x:c r="L14" s="37" t="s">
        <x:v>943</x:v>
      </x:c>
    </x:row>
    <x:row r="15" ht="15" hidden="0">
      <x:c r="B15" s="42" t="n">
        <x:v>0.85</x:v>
      </x:c>
      <x:c r="C15" s="16" t="n">
        <x:f aca="0">B15*A2_Derivasi!$K$57</x:f>
        <x:v>53147.20199999999</x:v>
      </x:c>
      <x:c r="D15" s="16" t="n">
        <x:f aca="0">A2_Derivasi!$C$67-C15</x:f>
        <x:v>29.79800000000978</x:v>
      </x:c>
      <x:c r="E15" s="16" t="n">
        <x:f aca="0">MAX(MIN(D15/A2_Derivasi!$C$52,(1-B15)*A2_Derivasi!$C$27),0)</x:f>
        <x:v>11.119752744972931</x:v>
      </x:c>
      <x:c r="F15" s="16" t="n">
        <x:f aca="0">B15*A2_Derivasi!$K$27+E15</x:f>
        <x:v>16990.719752744975</x:v>
      </x:c>
      <x:c r="G15" s="20" t="n">
        <x:f aca="0">B15*SUMPRODUCT(A2_Derivasi!$C$89:$J$89,A2_Derivasi!$C$27:$J$27)+E15*A2_Derivasi!$C$89</x:f>
        <x:v>244419793.29781413</x:v>
      </x:c>
      <x:c r="H15" s="15" t="n">
        <x:f aca="0">(G14-G15)/((B15-B14)*100)</x:f>
        <x:v>21852626.94077447</x:v>
      </x:c>
      <x:c r="L15" s="37" t="s">
        <x:v>944</x:v>
      </x:c>
    </x:row>
    <x:row r="17" ht="15" hidden="0">
      <x:c r="B17" s="6" t="s">
        <x:v>945</x:v>
      </x:c>
      <x:c r="C17" s="17" t="n">
        <x:f aca="0">A2_Derivasi!C73</x:f>
        <x:v>0.8504765688323538</x:v>
      </x:c>
      <x:c r="L17" s="4" t="s">
        <x:v>946</x:v>
      </x:c>
    </x:row>
    <x:row r="19" ht="43.5" hidden="0" customHeight="1">
      <x:c r="B19" s="37" t="s">
        <x:v>947</x:v>
      </x:c>
      <x:c r="C19" s="37"/>
      <x:c r="D19" s="37"/>
      <x:c r="E19" s="37"/>
      <x:c r="F19" s="37"/>
      <x:c r="G19" s="37"/>
      <x:c r="H19" s="37"/>
      <x:c r="I19" s="37"/>
      <x:c r="J19" s="37"/>
      <x:c r="K19" s="37"/>
      <x:c r="L19" s="37"/>
    </x:row>
    <x:row r="21" ht="30" hidden="0" customHeight="1">
      <x:c r="B21" s="43" t="s">
        <x:v>948</x:v>
      </x:c>
      <x:c r="C21" s="43"/>
      <x:c r="D21" s="43"/>
      <x:c r="E21" s="43"/>
      <x:c r="F21" s="43"/>
      <x:c r="G21" s="43"/>
      <x:c r="H21" s="43"/>
      <x:c r="I21" s="43"/>
      <x:c r="J21" s="43"/>
      <x:c r="K21" s="43"/>
      <x:c r="L21" s="43"/>
    </x:row>
  </x:sheetData>
  <x:mergeCells>
    <x:mergeCell ref="A1:L1"/>
    <x:mergeCell ref="A2:L2"/>
    <x:mergeCell ref="B19:L19"/>
    <x:mergeCell ref="B21:L21"/>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8.6796875" defaultRowHeight="15"/>
  <x:cols>
    <x:col min="1" max="1" width="6" hidden="0" customWidth="1"/>
    <x:col min="2" max="2" width="32" hidden="0" customWidth="1"/>
    <x:col min="3" max="10" width="13" hidden="0" customWidth="1"/>
    <x:col min="11" max="11" width="14" hidden="0" customWidth="1"/>
    <x:col min="12" max="12" width="54" hidden="0" customWidth="1"/>
  </x:cols>
  <x:sheetData>
    <x:row r="1" ht="21.75" hidden="0" customHeight="1">
      <x:c r="A1" s="1" t="s">
        <x:v>949</x:v>
      </x:c>
      <x:c r="B1" s="1"/>
      <x:c r="C1" s="1"/>
      <x:c r="D1" s="1"/>
      <x:c r="E1" s="1"/>
      <x:c r="F1" s="1"/>
      <x:c r="G1" s="1"/>
      <x:c r="H1" s="1"/>
      <x:c r="I1" s="1"/>
      <x:c r="J1" s="1"/>
      <x:c r="K1" s="1"/>
      <x:c r="L1" s="1"/>
    </x:row>
    <x:row r="3" ht="19.5" hidden="0" customHeight="1">
      <x:c r="A3" s="14" t="s">
        <x:v>950</x:v>
      </x:c>
      <x:c r="B3" s="14"/>
      <x:c r="C3" s="14"/>
      <x:c r="D3" s="14"/>
      <x:c r="E3" s="14"/>
      <x:c r="F3" s="14"/>
      <x:c r="G3" s="14"/>
      <x:c r="H3" s="14"/>
      <x:c r="I3" s="14"/>
      <x:c r="J3" s="14"/>
      <x:c r="K3" s="14"/>
      <x:c r="L3" s="14"/>
    </x:row>
    <x:row r="4" ht="27.75" hidden="0" customHeight="1">
      <x:c r="A4" s="2"/>
      <x:c r="B4" s="2" t="s">
        <x:v>951</x:v>
      </x:c>
      <x:c r="C4" s="2" t="s">
        <x:v>587</x:v>
      </x:c>
      <x:c r="D4" s="2" t="s">
        <x:v>588</x:v>
      </x:c>
      <x:c r="E4" s="2" t="s">
        <x:v>589</x:v>
      </x:c>
      <x:c r="F4" s="2" t="s">
        <x:v>590</x:v>
      </x:c>
      <x:c r="G4" s="2" t="s">
        <x:v>591</x:v>
      </x:c>
      <x:c r="H4" s="2" t="s">
        <x:v>592</x:v>
      </x:c>
      <x:c r="I4" s="2" t="s">
        <x:v>593</x:v>
      </x:c>
      <x:c r="J4" s="2" t="s">
        <x:v>594</x:v>
      </x:c>
      <x:c r="K4" s="2"/>
      <x:c r="L4" s="2" t="s">
        <x:v>595</x:v>
      </x:c>
    </x:row>
    <x:row r="5" ht="23.850000381469727" hidden="0">
      <x:c r="B5" s="6" t="s">
        <x:v>952</x:v>
      </x:c>
      <x:c r="C5" s="13" t="n">
        <x:f aca="0">(A2_Derivasi!C81-A2_Derivasi!$C$84-A2_Derivasi!C88)/(A2_Derivasi!$C$82+A2_Derivasi!$C$83-A2_Derivasi!$C$84)</x:f>
        <x:v>5.790036217596767</x:v>
      </x:c>
      <x:c r="D5" s="13" t="n">
        <x:f aca="0">(A2_Derivasi!D81-A2_Derivasi!$C$84-A2_Derivasi!D88)/(A2_Derivasi!$C$82+A2_Derivasi!$C$83-A2_Derivasi!$C$84)</x:f>
        <x:v>2.3935180898787007</x:v>
      </x:c>
      <x:c r="E5" s="13" t="n">
        <x:f aca="0">(A2_Derivasi!E81-A2_Derivasi!$C$84-A2_Derivasi!E88)/(A2_Derivasi!$C$82+A2_Derivasi!$C$83-A2_Derivasi!$C$84)</x:f>
        <x:v>2.82914087868696</x:v>
      </x:c>
      <x:c r="F5" s="13" t="n">
        <x:f aca="0">(A2_Derivasi!F81-A2_Derivasi!$C$84-A2_Derivasi!F88)/(A2_Derivasi!$C$82+A2_Derivasi!$C$83-A2_Derivasi!$C$84)</x:f>
        <x:v>2.925845379275235</x:v>
      </x:c>
      <x:c r="G5" s="13" t="n">
        <x:f aca="0">(A2_Derivasi!G81-A2_Derivasi!$C$84-A2_Derivasi!G88)/(A2_Derivasi!$C$82+A2_Derivasi!$C$83-A2_Derivasi!$C$84)</x:f>
        <x:v>2.925750092480292</x:v>
      </x:c>
      <x:c r="H5" s="13" t="n">
        <x:f aca="0">(A2_Derivasi!H81-A2_Derivasi!$C$84-A2_Derivasi!H88)/(A2_Derivasi!$C$82+A2_Derivasi!$C$83-A2_Derivasi!$C$84)</x:f>
        <x:v>2.6322108168866443</x:v>
      </x:c>
      <x:c r="I5" s="13" t="n">
        <x:f aca="0">(A2_Derivasi!I81-A2_Derivasi!$C$84-A2_Derivasi!I88)/(A2_Derivasi!$C$82+A2_Derivasi!$C$83-A2_Derivasi!$C$84)</x:f>
        <x:v>1.6683245678309586</x:v>
      </x:c>
      <x:c r="J5" s="13" t="n">
        <x:f aca="0">(A2_Derivasi!J81-A2_Derivasi!$C$84-A2_Derivasi!J88)/(A2_Derivasi!$C$82+A2_Derivasi!$C$83-A2_Derivasi!$C$84)</x:f>
        <x:v>1.1780527163245613</x:v>
      </x:c>
      <x:c r="L5" s="4" t="s">
        <x:v>953</x:v>
      </x:c>
    </x:row>
    <x:row r="6" ht="15" hidden="0">
      <x:c r="B6" s="6" t="s">
        <x:v>954</x:v>
      </x:c>
      <x:c r="C6" s="32" t="n">
        <x:f aca="0">A2_Derivasi!C52</x:f>
        <x:v>2.6797358433604557</x:v>
      </x:c>
      <x:c r="D6" s="32" t="n">
        <x:f aca="0">A2_Derivasi!D52</x:f>
        <x:v>3.3090479172098437</x:v>
      </x:c>
      <x:c r="E6" s="32" t="n">
        <x:f aca="0">A2_Derivasi!E52</x:f>
        <x:v>3.3090479172098437</x:v>
      </x:c>
      <x:c r="F6" s="32" t="n">
        <x:f aca="0">A2_Derivasi!F52</x:f>
        <x:v>3.3090479172098437</x:v>
      </x:c>
      <x:c r="G6" s="32" t="n">
        <x:f aca="0">A2_Derivasi!G52</x:f>
        <x:v>3.3090479172098437</x:v>
      </x:c>
      <x:c r="H6" s="32" t="n">
        <x:f aca="0">A2_Derivasi!H52</x:f>
        <x:v>3.3090479172098437</x:v>
      </x:c>
      <x:c r="I6" s="32" t="n">
        <x:f aca="0">A2_Derivasi!I52</x:f>
        <x:v>3.121454019925716</x:v>
      </x:c>
      <x:c r="J6" s="32" t="n">
        <x:f aca="0">A2_Derivasi!J52</x:f>
        <x:v>2.553916925393768</x:v>
      </x:c>
    </x:row>
    <x:row r="7" ht="15" hidden="0">
      <x:c r="B7" s="6" t="s">
        <x:v>955</x:v>
      </x:c>
      <x:c r="C7" s="22" t="n">
        <x:f aca="0">1/C5/A2_Derivasi!$C$8</x:f>
        <x:v>0.2923955814127375</x:v>
      </x:c>
      <x:c r="D7" s="22" t="n">
        <x:f aca="0">1/D5/A2_Derivasi!$C$8</x:f>
        <x:v>0.7073190770539827</x:v>
      </x:c>
      <x:c r="E7" s="22" t="n">
        <x:f aca="0">1/E5/A2_Derivasi!$C$8</x:f>
        <x:v>0.598408166591813</x:v>
      </x:c>
      <x:c r="F7" s="22" t="n">
        <x:f aca="0">1/F5/A2_Derivasi!$C$8</x:f>
        <x:v>0.5786296904945759</x:v>
      </x:c>
      <x:c r="G7" s="22" t="n">
        <x:f aca="0">1/G5/A2_Derivasi!$C$8</x:f>
        <x:v>0.5786485354973695</x:v>
      </x:c>
      <x:c r="H7" s="22" t="n">
        <x:f aca="0">1/H5/A2_Derivasi!$C$8</x:f>
        <x:v>0.6431783485516778</x:v>
      </x:c>
      <x:c r="I7" s="22" t="n">
        <x:f aca="0">1/I5/A2_Derivasi!$C$8</x:f>
        <x:v>1.0147791616148842</x:v>
      </x:c>
      <x:c r="J7" s="22" t="n">
        <x:f aca="0">1/J5/A2_Derivasi!$C$8</x:f>
        <x:v>1.437101228820211</x:v>
      </x:c>
    </x:row>
    <x:row r="8" ht="15" hidden="0">
      <x:c r="B8" s="6" t="s">
        <x:v>956</x:v>
      </x:c>
      <x:c r="C8" s="44" t="n">
        <x:f aca="0">A2_Derivasi!C51</x:f>
        <x:v>0.6317716018314603</x:v>
      </x:c>
      <x:c r="D8" s="44" t="n">
        <x:f aca="0">A2_Derivasi!D51</x:f>
        <x:v>0.5116217862667033</x:v>
      </x:c>
      <x:c r="E8" s="44" t="n">
        <x:f aca="0">A2_Derivasi!E51</x:f>
        <x:v>0.5116217862667033</x:v>
      </x:c>
      <x:c r="F8" s="44" t="n">
        <x:f aca="0">A2_Derivasi!F51</x:f>
        <x:v>0.5116217862667033</x:v>
      </x:c>
      <x:c r="G8" s="44" t="n">
        <x:f aca="0">A2_Derivasi!G51</x:f>
        <x:v>0.5116217862667033</x:v>
      </x:c>
      <x:c r="H8" s="44" t="n">
        <x:f aca="0">A2_Derivasi!H51</x:f>
        <x:v>0.5116217862667033</x:v>
      </x:c>
      <x:c r="I8" s="44" t="n">
        <x:f aca="0">A2_Derivasi!I51</x:f>
        <x:v>0.5423693558956552</x:v>
      </x:c>
      <x:c r="J8" s="44" t="n">
        <x:f aca="0">A2_Derivasi!J51</x:f>
        <x:v>0.662895879428023</x:v>
      </x:c>
    </x:row>
    <x:row r="9" ht="15" hidden="0">
      <x:c r="B9" s="6" t="s">
        <x:v>957</x:v>
      </x:c>
      <x:c r="C9" s="35" t="n">
        <x:f aca="0">(A2_Derivasi!C52*(A2_Derivasi!$C$82+A2_Derivasi!$C$83)-(A2_Derivasi!C52-1)*A2_Derivasi!$C$84-A2_Derivasi!C88)/(A1_Kendali!$B$14*A2_Derivasi!$C$80)</x:f>
        <x:v>3.5779948746228123</x:v>
      </x:c>
      <x:c r="D9" s="35" t="n">
        <x:f aca="0">(A2_Derivasi!D52*(A2_Derivasi!$C$82+A2_Derivasi!$C$83)-(A2_Derivasi!D52-1)*A2_Derivasi!$C$84-A2_Derivasi!D88)/(A1_Kendali!$B$14*A2_Derivasi!$C$80)</x:f>
        <x:v>4.221162996366442</x:v>
      </x:c>
      <x:c r="E9" s="35" t="n">
        <x:f aca="0">(A2_Derivasi!E52*(A2_Derivasi!$C$82+A2_Derivasi!$C$83)-(A2_Derivasi!E52-1)*A2_Derivasi!$C$84-A2_Derivasi!E88)/(A1_Kendali!$B$14*A2_Derivasi!$C$80)</x:f>
        <x:v>4.220894980807033</x:v>
      </x:c>
      <x:c r="F9" s="35" t="n">
        <x:f aca="0">(A2_Derivasi!F52*(A2_Derivasi!$C$82+A2_Derivasi!$C$83)-(A2_Derivasi!F52-1)*A2_Derivasi!$C$84-A2_Derivasi!F88)/(A1_Kendali!$B$14*A2_Derivasi!$C$80)</x:f>
        <x:v>4.220731601092395</x:v>
      </x:c>
      <x:c r="G9" s="35" t="n">
        <x:f aca="0">(A2_Derivasi!G52*(A2_Derivasi!$C$82+A2_Derivasi!$C$83)-(A2_Derivasi!G52-1)*A2_Derivasi!$C$84-A2_Derivasi!G88)/(A1_Kendali!$B$14*A2_Derivasi!$C$80)</x:f>
        <x:v>4.220633228095203</x:v>
      </x:c>
      <x:c r="H9" s="35" t="n">
        <x:f aca="0">(A2_Derivasi!H52*(A2_Derivasi!$C$82+A2_Derivasi!$C$83)-(A2_Derivasi!H52-1)*A2_Derivasi!$C$84-A2_Derivasi!H88)/(A1_Kendali!$B$14*A2_Derivasi!$C$80)</x:f>
        <x:v>4.2175866375228</x:v>
      </x:c>
      <x:c r="I9" s="35" t="n">
        <x:f aca="0">(A2_Derivasi!I52*(A2_Derivasi!$C$82+A2_Derivasi!$C$83)-(A2_Derivasi!I52-1)*A2_Derivasi!$C$84-A2_Derivasi!I88)/(A1_Kendali!$B$14*A2_Derivasi!$C$80)</x:f>
        <x:v>4.028811705260744</x:v>
      </x:c>
      <x:c r="J9" s="35" t="n">
        <x:f aca="0">(A2_Derivasi!J52*(A2_Derivasi!$C$82+A2_Derivasi!$C$83)-(A2_Derivasi!J52-1)*A2_Derivasi!$C$84-A2_Derivasi!J88)/(A1_Kendali!$B$14*A2_Derivasi!$C$80)</x:f>
        <x:v>3.436741848763339</x:v>
      </x:c>
      <x:c r="L9" s="4" t="s">
        <x:v>958</x:v>
      </x:c>
    </x:row>
    <x:row r="10" ht="15" hidden="0">
      <x:c r="B10" s="6" t="s">
        <x:v>959</x:v>
      </x:c>
      <x:c r="C10" s="28" t="n">
        <x:f aca="0">A2_Derivasi!C79</x:f>
        <x:v>6.75</x:v>
      </x:c>
      <x:c r="D10" s="28" t="n">
        <x:f aca="0">A2_Derivasi!D79</x:f>
        <x:v>3.25</x:v>
      </x:c>
      <x:c r="E10" s="28" t="n">
        <x:f aca="0">A2_Derivasi!E79</x:f>
        <x:v>3.7</x:v>
      </x:c>
      <x:c r="F10" s="28" t="n">
        <x:f aca="0">A2_Derivasi!F79</x:f>
        <x:v>3.8</x:v>
      </x:c>
      <x:c r="G10" s="28" t="n">
        <x:f aca="0">A2_Derivasi!G79</x:f>
        <x:v>3.8</x:v>
      </x:c>
      <x:c r="H10" s="28" t="n">
        <x:f aca="0">A2_Derivasi!H79</x:f>
        <x:v>3.5</x:v>
      </x:c>
      <x:c r="I10" s="28" t="n">
        <x:f aca="0">A2_Derivasi!I79</x:f>
        <x:v>2.5</x:v>
      </x:c>
      <x:c r="J10" s="28" t="n">
        <x:f aca="0">A2_Derivasi!J79</x:f>
        <x:v>2</x:v>
      </x:c>
    </x:row>
    <x:row r="11" ht="15" hidden="0">
      <x:c r="B11" s="6" t="s">
        <x:v>960</x:v>
      </x:c>
      <x:c r="C11" s="22" t="n">
        <x:f aca="0">C10/C9-1</x:f>
        <x:v>0.8865314894313749</x:v>
      </x:c>
      <x:c r="D11" s="22" t="n">
        <x:f aca="0">D10/D9-1</x:f>
        <x:v>-0.23007000611026274</x:v>
      </x:c>
      <x:c r="E11" s="22" t="n">
        <x:f aca="0">E10/E9-1</x:f>
        <x:v>-0.12340865697336967</x:v>
      </x:c>
      <x:c r="F11" s="22" t="n">
        <x:f aca="0">F10/F9-1</x:f>
        <x:v>-0.09968215012380865</x:v>
      </x:c>
      <x:c r="G11" s="22" t="n">
        <x:f aca="0">G10/G9-1</x:f>
        <x:v>-0.09966116584004558</x:v>
      </x:c>
      <x:c r="H11" s="22" t="n">
        <x:f aca="0">H10/H9-1</x:f>
        <x:v>-0.17014152860278275</x:v>
      </x:c>
      <x:c r="I11" s="22" t="n">
        <x:f aca="0">I10/I9-1</x:f>
        <x:v>-0.3794696344990389</x:v>
      </x:c>
      <x:c r="J11" s="22" t="n">
        <x:f aca="0">J10/J9-1</x:f>
        <x:v>-0.41805346807771715</x:v>
      </x:c>
    </x:row>
    <x:row r="13" ht="31.5" hidden="0" customHeight="1">
      <x:c r="B13" s="37" t="s">
        <x:v>961</x:v>
      </x:c>
      <x:c r="C13" s="37"/>
      <x:c r="D13" s="37"/>
      <x:c r="E13" s="37"/>
      <x:c r="F13" s="37"/>
      <x:c r="G13" s="37"/>
      <x:c r="H13" s="37"/>
      <x:c r="I13" s="37"/>
      <x:c r="J13" s="37"/>
      <x:c r="K13" s="37"/>
      <x:c r="L13" s="37"/>
    </x:row>
    <x:row r="15" ht="19.5" hidden="0" customHeight="1">
      <x:c r="A15" s="14" t="s">
        <x:v>962</x:v>
      </x:c>
      <x:c r="B15" s="14"/>
      <x:c r="C15" s="14"/>
      <x:c r="D15" s="14"/>
      <x:c r="E15" s="14"/>
      <x:c r="F15" s="14"/>
      <x:c r="G15" s="14"/>
      <x:c r="H15" s="14"/>
      <x:c r="I15" s="14"/>
      <x:c r="J15" s="14"/>
      <x:c r="K15" s="14"/>
      <x:c r="L15" s="14"/>
    </x:row>
    <x:row r="16" ht="27.75" hidden="0" customHeight="1">
      <x:c r="A16" s="2"/>
      <x:c r="B16" s="2" t="s">
        <x:v>963</x:v>
      </x:c>
      <x:c r="C16" s="2" t="s">
        <x:v>964</x:v>
      </x:c>
      <x:c r="D16" s="2" t="s">
        <x:v>965</x:v>
      </x:c>
      <x:c r="E16" s="2" t="s">
        <x:v>966</x:v>
      </x:c>
      <x:c r="F16" s="2" t="s">
        <x:v>967</x:v>
      </x:c>
      <x:c r="G16" s="2" t="s">
        <x:v>968</x:v>
      </x:c>
      <x:c r="H16" s="2" t="s">
        <x:v>969</x:v>
      </x:c>
      <x:c r="I16" s="2" t="s">
        <x:v>970</x:v>
      </x:c>
      <x:c r="J16" s="2"/>
      <x:c r="K16" s="2"/>
      <x:c r="L16" s="2" t="s">
        <x:v>771</x:v>
      </x:c>
    </x:row>
    <x:row r="17" ht="15" hidden="0">
      <x:c r="B17" s="6" t="s">
        <x:v>526</x:v>
      </x:c>
      <x:c r="C17" s="18" t="s">
        <x:v>971</x:v>
      </x:c>
      <x:c r="D17" s="11" t="s">
        <x:v>972</x:v>
      </x:c>
      <x:c r="E17" s="11" t="s">
        <x:v>973</x:v>
      </x:c>
      <x:c r="F17" s="11" t="s">
        <x:v>974</x:v>
      </x:c>
      <x:c r="G17" s="45"/>
      <x:c r="H17" s="45"/>
      <x:c r="I17" s="45"/>
      <x:c r="L17" s="4" t="s">
        <x:v>975</x:v>
      </x:c>
    </x:row>
    <x:row r="18" ht="15" hidden="0">
      <x:c r="B18" s="6" t="s">
        <x:v>540</x:v>
      </x:c>
      <x:c r="C18" s="18" t="s">
        <x:v>976</x:v>
      </x:c>
      <x:c r="D18" s="11" t="s">
        <x:v>977</x:v>
      </x:c>
      <x:c r="E18" s="11" t="s">
        <x:v>978</x:v>
      </x:c>
      <x:c r="F18" s="11" t="s">
        <x:v>979</x:v>
      </x:c>
      <x:c r="G18" s="45"/>
      <x:c r="H18" s="45"/>
      <x:c r="I18" s="45"/>
      <x:c r="L18" s="4" t="s">
        <x:v>980</x:v>
      </x:c>
    </x:row>
    <x:row r="19" ht="15" hidden="0">
      <x:c r="B19" s="6" t="s">
        <x:v>981</x:v>
      </x:c>
      <x:c r="C19" s="18" t="s">
        <x:v>982</x:v>
      </x:c>
      <x:c r="D19" s="11" t="s">
        <x:v>977</x:v>
      </x:c>
      <x:c r="E19" s="11" t="s">
        <x:v>983</x:v>
      </x:c>
      <x:c r="F19" s="11" t="s">
        <x:v>984</x:v>
      </x:c>
      <x:c r="G19" s="45"/>
      <x:c r="H19" s="45"/>
      <x:c r="I19" s="45"/>
      <x:c r="L19" s="4" t="s">
        <x:v>985</x:v>
      </x:c>
    </x:row>
    <x:row r="20" ht="15" hidden="0">
      <x:c r="B20" s="6" t="s">
        <x:v>986</x:v>
      </x:c>
      <x:c r="C20" s="18" t="s">
        <x:v>987</x:v>
      </x:c>
      <x:c r="D20" s="11" t="s">
        <x:v>988</x:v>
      </x:c>
      <x:c r="E20" s="11" t="s">
        <x:v>983</x:v>
      </x:c>
      <x:c r="F20" s="11" t="s">
        <x:v>989</x:v>
      </x:c>
      <x:c r="G20" s="45"/>
      <x:c r="H20" s="45"/>
      <x:c r="I20" s="45"/>
      <x:c r="L20" s="4" t="s">
        <x:v>990</x:v>
      </x:c>
    </x:row>
    <x:row r="21" ht="15" hidden="0">
      <x:c r="B21" s="6" t="s">
        <x:v>991</x:v>
      </x:c>
      <x:c r="C21" s="18" t="s">
        <x:v>992</x:v>
      </x:c>
      <x:c r="D21" s="11" t="s">
        <x:v>977</x:v>
      </x:c>
      <x:c r="E21" s="11" t="s">
        <x:v>993</x:v>
      </x:c>
      <x:c r="F21" s="11" t="s">
        <x:v>984</x:v>
      </x:c>
      <x:c r="G21" s="45"/>
      <x:c r="H21" s="45"/>
      <x:c r="I21" s="45"/>
      <x:c r="L21" s="4" t="s">
        <x:v>994</x:v>
      </x:c>
    </x:row>
    <x:row r="22" ht="15" hidden="0">
      <x:c r="B22" s="6" t="s">
        <x:v>995</x:v>
      </x:c>
      <x:c r="C22" s="18" t="s">
        <x:v>996</x:v>
      </x:c>
      <x:c r="D22" s="11" t="s">
        <x:v>997</x:v>
      </x:c>
      <x:c r="E22" s="11" t="s">
        <x:v>998</x:v>
      </x:c>
      <x:c r="F22" s="11" t="s">
        <x:v>999</x:v>
      </x:c>
      <x:c r="G22" s="45"/>
      <x:c r="H22" s="45"/>
      <x:c r="I22" s="45"/>
      <x:c r="L22" s="4" t="s">
        <x:v>1000</x:v>
      </x:c>
    </x:row>
    <x:row r="23" ht="15" hidden="0">
      <x:c r="B23" s="6" t="s">
        <x:v>535</x:v>
      </x:c>
      <x:c r="C23" s="18" t="s">
        <x:v>1001</x:v>
      </x:c>
      <x:c r="D23" s="11" t="s">
        <x:v>1002</x:v>
      </x:c>
      <x:c r="E23" s="11" t="s">
        <x:v>1003</x:v>
      </x:c>
      <x:c r="F23" s="11" t="s">
        <x:v>1004</x:v>
      </x:c>
      <x:c r="G23" s="45"/>
      <x:c r="H23" s="45"/>
      <x:c r="I23" s="45"/>
      <x:c r="L23" s="4" t="s">
        <x:v>1005</x:v>
      </x:c>
    </x:row>
  </x:sheetData>
  <x:mergeCells>
    <x:mergeCell ref="A1:L1"/>
    <x:mergeCell ref="A3:L3"/>
    <x:mergeCell ref="B13:L13"/>
    <x:mergeCell ref="A15:L15"/>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ColWidth="8.6796875" defaultRowHeight="15"/>
  <x:cols>
    <x:col min="1" max="1" width="30" hidden="0" customWidth="1"/>
    <x:col min="2" max="3" width="62" hidden="0" customWidth="1"/>
  </x:cols>
  <x:sheetData>
    <x:row r="1" ht="21.75" hidden="0" customHeight="1">
      <x:c r="A1" s="1" t="s">
        <x:v>1006</x:v>
      </x:c>
      <x:c r="B1" s="1"/>
      <x:c r="C1" s="1"/>
    </x:row>
    <x:row r="3" ht="27.75" hidden="0" customHeight="1">
      <x:c r="A3" s="2" t="s">
        <x:v>1007</x:v>
      </x:c>
      <x:c r="B3" s="2" t="s">
        <x:v>1008</x:v>
      </x:c>
      <x:c r="C3" s="2" t="s">
        <x:v>576</x:v>
      </x:c>
    </x:row>
    <x:row r="4" ht="15" hidden="0">
      <x:c r="A4" s="6" t="s">
        <x:v>1009</x:v>
      </x:c>
      <x:c r="B4" s="4" t="s">
        <x:v>1010</x:v>
      </x:c>
      <x:c r="C4" s="4" t="s">
        <x:v>1011</x:v>
      </x:c>
    </x:row>
    <x:row r="5" ht="15" hidden="0">
      <x:c r="A5" s="6" t="s">
        <x:v>1012</x:v>
      </x:c>
      <x:c r="B5" s="4" t="s">
        <x:v>1013</x:v>
      </x:c>
      <x:c r="C5" s="4" t="s">
        <x:v>1014</x:v>
      </x:c>
    </x:row>
    <x:row r="6" ht="15" hidden="0">
      <x:c r="A6" s="6" t="s">
        <x:v>1015</x:v>
      </x:c>
      <x:c r="B6" s="4" t="s">
        <x:v>1016</x:v>
      </x:c>
      <x:c r="C6" s="4" t="s">
        <x:v>1017</x:v>
      </x:c>
    </x:row>
    <x:row r="7" ht="15" hidden="0">
      <x:c r="A7" s="6" t="s">
        <x:v>1018</x:v>
      </x:c>
      <x:c r="B7" s="4" t="s">
        <x:v>1019</x:v>
      </x:c>
      <x:c r="C7" s="4" t="s">
        <x:v>1020</x:v>
      </x:c>
    </x:row>
    <x:row r="8" ht="15" hidden="0">
      <x:c r="A8" s="6" t="s">
        <x:v>1021</x:v>
      </x:c>
      <x:c r="B8" s="4" t="s">
        <x:v>1022</x:v>
      </x:c>
      <x:c r="C8" s="4" t="s">
        <x:v>1023</x:v>
      </x:c>
    </x:row>
    <x:row r="9" ht="15" hidden="0">
      <x:c r="A9" s="6" t="s">
        <x:v>1024</x:v>
      </x:c>
      <x:c r="B9" s="4" t="s">
        <x:v>1025</x:v>
      </x:c>
      <x:c r="C9" s="4" t="s">
        <x:v>1026</x:v>
      </x:c>
    </x:row>
    <x:row r="10" ht="15" hidden="0">
      <x:c r="A10" s="6" t="s">
        <x:v>1027</x:v>
      </x:c>
      <x:c r="B10" s="4" t="s">
        <x:v>1028</x:v>
      </x:c>
      <x:c r="C10" s="4" t="s">
        <x:v>1029</x:v>
      </x:c>
    </x:row>
    <x:row r="11" ht="15" hidden="0">
      <x:c r="A11" s="6" t="s">
        <x:v>1030</x:v>
      </x:c>
      <x:c r="B11" s="4" t="s">
        <x:v>1031</x:v>
      </x:c>
      <x:c r="C11" s="4" t="s">
        <x:v>1032</x:v>
      </x:c>
    </x:row>
    <x:row r="12" ht="15" hidden="0">
      <x:c r="A12" s="6" t="s">
        <x:v>1033</x:v>
      </x:c>
      <x:c r="B12" s="4" t="s">
        <x:v>1034</x:v>
      </x:c>
      <x:c r="C12" s="4" t="s">
        <x:v>557</x:v>
      </x:c>
    </x:row>
    <x:row r="13" ht="15" hidden="0">
      <x:c r="A13" s="6" t="s">
        <x:v>1035</x:v>
      </x:c>
      <x:c r="B13" s="4" t="s">
        <x:v>1036</x:v>
      </x:c>
      <x:c r="C13" s="4" t="s">
        <x:v>1037</x:v>
      </x:c>
    </x:row>
    <x:row r="14" ht="15" hidden="0">
      <x:c r="A14" s="6" t="s">
        <x:v>1038</x:v>
      </x:c>
      <x:c r="B14" s="4" t="s">
        <x:v>1039</x:v>
      </x:c>
      <x:c r="C14" s="4" t="s">
        <x:v>1040</x:v>
      </x:c>
    </x:row>
    <x:row r="15" ht="15" hidden="0">
      <x:c r="A15" s="6" t="s">
        <x:v>1041</x:v>
      </x:c>
      <x:c r="B15" s="4" t="s">
        <x:v>1042</x:v>
      </x:c>
      <x:c r="C15" s="4" t="s">
        <x:v>1043</x:v>
      </x:c>
    </x:row>
    <x:row r="17" ht="15" hidden="0">
      <x:c r="A17" s="5" t="s">
        <x:v>1044</x:v>
      </x:c>
    </x:row>
    <x:row r="18" ht="27.75" hidden="0" customHeight="1">
      <x:c r="A18" s="6" t="s">
        <x:v>1045</x:v>
      </x:c>
      <x:c r="B18" s="4" t="s">
        <x:v>1046</x:v>
      </x:c>
      <x:c r="C18" s="4"/>
    </x:row>
    <x:row r="19" ht="27.75" hidden="0" customHeight="1">
      <x:c r="A19" s="6" t="s">
        <x:v>1047</x:v>
      </x:c>
      <x:c r="B19" s="4" t="s">
        <x:v>1048</x:v>
      </x:c>
      <x:c r="C19" s="4"/>
    </x:row>
    <x:row r="20" ht="27.75" hidden="0" customHeight="1">
      <x:c r="A20" s="6" t="s">
        <x:v>1049</x:v>
      </x:c>
      <x:c r="B20" s="4" t="s">
        <x:v>1050</x:v>
      </x:c>
      <x:c r="C20" s="4"/>
    </x:row>
    <x:row r="21" ht="27.75" hidden="0" customHeight="1">
      <x:c r="A21" s="6" t="s">
        <x:v>1051</x:v>
      </x:c>
      <x:c r="B21" s="4" t="s">
        <x:v>1052</x:v>
      </x:c>
      <x:c r="C21" s="4"/>
    </x:row>
    <x:row r="22" ht="27.75" hidden="0" customHeight="1">
      <x:c r="A22" s="6" t="s">
        <x:v>1053</x:v>
      </x:c>
      <x:c r="B22" s="4" t="s">
        <x:v>1054</x:v>
      </x:c>
      <x:c r="C22" s="4"/>
    </x:row>
    <x:row r="23" ht="27.75" hidden="0" customHeight="1">
      <x:c r="A23" s="6" t="s">
        <x:v>1055</x:v>
      </x:c>
      <x:c r="B23" s="4" t="s">
        <x:v>1056</x:v>
      </x:c>
      <x:c r="C23" s="4"/>
    </x:row>
    <x:row r="24" ht="27.75" hidden="0" customHeight="1">
      <x:c r="A24" s="6" t="s">
        <x:v>1057</x:v>
      </x:c>
      <x:c r="B24" s="4" t="s">
        <x:v>1058</x:v>
      </x:c>
      <x:c r="C24" s="4"/>
    </x:row>
    <x:row r="25" ht="27.75" hidden="0" customHeight="1">
      <x:c r="A25" s="6" t="s">
        <x:v>1059</x:v>
      </x:c>
      <x:c r="B25" s="4" t="s">
        <x:v>1060</x:v>
      </x:c>
      <x:c r="C25" s="4"/>
    </x:row>
    <x:row r="26" ht="27.75" hidden="0" customHeight="1">
      <x:c r="A26" s="6" t="s">
        <x:v>1061</x:v>
      </x:c>
      <x:c r="B26" s="4" t="s">
        <x:v>1062</x:v>
      </x:c>
      <x:c r="C26" s="4"/>
    </x:row>
    <x:row r="27" ht="27.75" hidden="0" customHeight="1">
      <x:c r="A27" s="6" t="s">
        <x:v>1063</x:v>
      </x:c>
      <x:c r="B27" s="4" t="s">
        <x:v>1064</x:v>
      </x:c>
      <x:c r="C27" s="4"/>
    </x:row>
    <x:row r="28" ht="27.75" hidden="0" customHeight="1">
      <x:c r="A28" s="6" t="s">
        <x:v>1065</x:v>
      </x:c>
      <x:c r="B28" s="4" t="s">
        <x:v>1066</x:v>
      </x:c>
      <x:c r="C28" s="4"/>
    </x:row>
    <x:row r="29" ht="27.75" hidden="0" customHeight="1">
      <x:c r="A29" s="6" t="s">
        <x:v>1067</x:v>
      </x:c>
      <x:c r="B29" s="4" t="s">
        <x:v>1068</x:v>
      </x:c>
      <x:c r="C29" s="4"/>
    </x:row>
    <x:row r="30" ht="27.75" hidden="0" customHeight="1">
      <x:c r="A30" s="6" t="s">
        <x:v>1069</x:v>
      </x:c>
      <x:c r="B30" s="4" t="s">
        <x:v>1070</x:v>
      </x:c>
      <x:c r="C30" s="4"/>
    </x:row>
    <x:row r="31" ht="27.75" hidden="0" customHeight="1">
      <x:c r="A31" s="6" t="s">
        <x:v>1071</x:v>
      </x:c>
      <x:c r="B31" s="4" t="s">
        <x:v>1072</x:v>
      </x:c>
      <x:c r="C31" s="4"/>
    </x:row>
    <x:row r="32" ht="27.75" hidden="0" customHeight="1">
      <x:c r="A32" s="6" t="s">
        <x:v>1073</x:v>
      </x:c>
      <x:c r="B32" s="4" t="s">
        <x:v>1074</x:v>
      </x:c>
      <x:c r="C32" s="4"/>
    </x:row>
    <x:row r="33" ht="27.75" hidden="0" customHeight="1">
      <x:c r="A33" s="6" t="s">
        <x:v>1075</x:v>
      </x:c>
      <x:c r="B33" s="4" t="s">
        <x:v>1076</x:v>
      </x:c>
      <x:c r="C33" s="4"/>
    </x:row>
  </x:sheetData>
  <x:mergeCells>
    <x:mergeCell ref="A1:C1"/>
    <x:mergeCell ref="B18:C18"/>
    <x:mergeCell ref="B19:C19"/>
    <x:mergeCell ref="B20:C20"/>
    <x:mergeCell ref="B21:C21"/>
    <x:mergeCell ref="B22:C22"/>
    <x:mergeCell ref="B23:C23"/>
    <x:mergeCell ref="B24:C24"/>
    <x:mergeCell ref="B25:C25"/>
    <x:mergeCell ref="B26:C26"/>
    <x:mergeCell ref="B27:C27"/>
    <x:mergeCell ref="B28:C28"/>
    <x:mergeCell ref="B29:C29"/>
    <x:mergeCell ref="B30:C30"/>
    <x:mergeCell ref="B31:C31"/>
    <x:mergeCell ref="B32:C32"/>
    <x:mergeCell ref="B33:C33"/>
  </x:mergeCells>
  <x:pageMargins left="0.7" right="0.7" top="0.75" bottom="0.75" header="0.3" footer="0.3"/>
</x:worksheet>
</file>

<file path=xl/worksheets/sheet14.xml><?xml version="1.0" encoding="utf-8"?>
<x:worksheet xmlns:x="http://schemas.openxmlformats.org/spreadsheetml/2006/main">
  <x:sheetFormatPr defaultRowHeight="15"/>
  <x:cols>
    <x:col min="1" max="1" width="25" hidden="0" customWidth="1"/>
    <x:col min="2" max="2" width="37" hidden="0" customWidth="1"/>
    <x:col min="3" max="3" width="37" hidden="0" customWidth="1"/>
    <x:col min="4" max="4" width="37" hidden="0" customWidth="1"/>
    <x:col min="5" max="5" width="4" hidden="0" customWidth="1"/>
    <x:col min="6" max="6" width="4" hidden="0" customWidth="1"/>
    <x:col min="7" max="7" width="4" hidden="0" customWidth="1"/>
    <x:col min="8" max="8" width="4" hidden="0" customWidth="1"/>
    <x:col min="9" max="9" width="4" hidden="0" customWidth="1"/>
    <x:col min="10" max="10" width="4" hidden="0" customWidth="1"/>
  </x:cols>
  <x:sheetData>
    <x:row r="1" ht="26" customHeight="1">
      <x:c r="A1" s="95" t="str">
        <x:v>FINAL — MODEL YANG ALIGN DENGAN TUJUAN ARUNA: RESOURCE-DRIVEN PRODUCTION ALLOCATION</x:v>
      </x:c>
      <x:c r="B1" s="95"/>
      <x:c r="C1" s="95"/>
      <x:c r="D1" s="95"/>
      <x:c r="E1" s="95"/>
      <x:c r="F1" s="95"/>
      <x:c r="G1" s="95"/>
      <x:c r="H1" s="95"/>
      <x:c r="I1" s="95"/>
      <x:c r="J1" s="95"/>
    </x:row>
    <x:row r="3">
      <x:c r="A3" s="103" t="str">
        <x:v>Tujuan Aruna</x:v>
      </x:c>
      <x:c r="B3" s="103" t="str">
        <x:v>Implikasi ke Model</x:v>
      </x:c>
      <x:c r="C3" s="103" t="str">
        <x:v>Yang Dioptimalkan</x:v>
      </x:c>
      <x:c r="D3" s="103" t="str">
        <x:v>Yang BUKAN Dioptimalkan</x:v>
      </x:c>
      <x:c r="E3" t="str"/>
      <x:c r="F3" t="str"/>
      <x:c r="G3" t="str"/>
      <x:c r="H3" t="str"/>
      <x:c r="I3" t="str"/>
      <x:c r="J3" t="str"/>
    </x:row>
    <x:row r="4">
      <x:c r="A4" s="108" t="str">
        <x:v>Maksimalkan profitability</x:v>
      </x:c>
      <x:c r="B4" s="108" t="str">
        <x:v>Bahan baku dianggap resource yang sudah tersedia; biaya beli ditampilkan di P&amp;L, bukan diulang sebagai ranking antar-SKU.</x:v>
      </x:c>
      <x:c r="C4" s="108" t="str">
        <x:v>Alokasi kg loin dari tiap resource pool ke SKU dengan contribution tertinggi.</x:v>
      </x:c>
      <x:c r="D4" s="108" t="str">
        <x:v>Bukan memaksa semua SKU memenuhi persentase PO yang sama.</x:v>
      </x:c>
    </x:row>
    <x:row r="5">
      <x:c r="A5" s="108" t="str">
        <x:v>Kurangi excess / MTS</x:v>
      </x:c>
      <x:c r="B5" s="108" t="str">
        <x:v>Sisa loin/WIP harus terlihat eksplisit sebagai ending residual, tidak boleh 'hilang' dari model.</x:v>
      </x:c>
      <x:c r="C5" s="108" t="str">
        <x:v>Ending residual / WIP yang belum dialokasikan.</x:v>
      </x:c>
      <x:c r="D5" s="108" t="str">
        <x:v>Bukan memberi nilai by-product rata-rata ke semua massa sisa.</x:v>
      </x:c>
    </x:row>
    <x:row r="6">
      <x:c r="A6" s="108" t="str">
        <x:v>Kurangi energi</x:v>
      </x:c>
      <x:c r="B6" s="108" t="str">
        <x:v>Energi menjadi KPI dan constraint eksternal/scenario, bukan self-referencing.</x:v>
      </x:c>
      <x:c r="C6" s="108" t="str">
        <x:v>kWh total dan kWh/kg pada product mix terpilih.</x:v>
      </x:c>
      <x:c r="D6" s="108" t="str">
        <x:v>Bukan mengurangi profit dengan biaya energi dua kali bila sudah tercakup overhead.</x:v>
      </x:c>
    </x:row>
    <x:row r="7">
      <x:c r="A7" s="108" t="str">
        <x:v>Tetap realistis terhadap buyer</x:v>
      </x:c>
      <x:c r="B7" s="108" t="str">
        <x:v>PO dipakai sebagai demand ceiling; minimum per SKU hanya jika ada contractual commitment.</x:v>
      </x:c>
      <x:c r="C7" s="108" t="str">
        <x:v>Net PO setelah prioritas existing FG stock.</x:v>
      </x:c>
      <x:c r="D7" s="108" t="str">
        <x:v>Bukan alpha 70% global tanpa dasar kontrak.</x:v>
      </x:c>
    </x:row>
    <x:row r="9">
      <x:c r="A9" s="112" t="str">
        <x:v>PERUBAHAN UTAMA DARI MODEL LAMA</x:v>
      </x:c>
      <x:c r="B9" s="112"/>
      <x:c r="C9" s="112"/>
      <x:c r="D9" s="112"/>
      <x:c r="E9" s="112"/>
      <x:c r="F9" s="112"/>
      <x:c r="G9" s="112"/>
      <x:c r="H9" s="112"/>
      <x:c r="I9" s="112"/>
      <x:c r="J9" s="112"/>
    </x:row>
    <x:row r="10">
      <x:c r="A10" s="103" t="str">
        <x:v>Model Lama</x:v>
      </x:c>
      <x:c r="B10" s="103" t="str">
        <x:v>Risiko</x:v>
      </x:c>
      <x:c r="C10" s="103" t="str">
        <x:v>Model Final</x:v>
      </x:c>
      <x:c r="D10" s="103" t="str">
        <x:v>Alasan</x:v>
      </x:c>
    </x:row>
    <x:row r="11">
      <x:c r="A11" s="108" t="str">
        <x:v>Alpha 70% global</x:v>
      </x:c>
      <x:c r="B11" s="108" t="str">
        <x:v>Angka kebijakan tidak berasal dari Aruna.</x:v>
      </x:c>
      <x:c r="C11" s="108" t="str">
        <x:v>Minimum contractual per SKU; default 0.</x:v>
      </x:c>
      <x:c r="D11" s="108" t="str">
        <x:v>Buyer commitment boleh berbeda per SKU.</x:v>
      </x:c>
    </x:row>
    <x:row r="12">
      <x:c r="A12" s="108" t="str">
        <x:v>RM cost masuk koefisien setiap SKU</x:v>
      </x:c>
      <x:c r="B12" s="108" t="str">
        <x:v>Untuk fixed resource, RM cost sudah sunk/konstan dan dapat mendistorsi routing.</x:v>
      </x:c>
      <x:c r="C12" s="108" t="str">
        <x:v>Routing memakai incremental value setelah conversion cost.</x:v>
      </x:c>
      <x:c r="D12" s="108" t="str">
        <x:v>Total RM cost tetap masuk P&amp;L shipment.</x:v>
      </x:c>
    </x:row>
    <x:row r="13">
      <x:c r="A13" s="108" t="str">
        <x:v>Sisa resource boleh tidak teralokasi tanpa label</x:v>
      </x:c>
      <x:c r="B13" s="108" t="str">
        <x:v>Excess dapat 'menghilang' dari hasil.</x:v>
      </x:c>
      <x:c r="C13" s="108" t="str">
        <x:v>Ending residual dihitung eksplisit per resource pool.</x:v>
      </x:c>
      <x:c r="D13" s="108" t="str">
        <x:v>Langsung menjawab masalah MTS/capital lock.</x:v>
      </x:c>
    </x:row>
    <x:row r="14">
      <x:c r="A14" s="108" t="str">
        <x:v>Pagu energi = hasil optimasi</x:v>
      </x:c>
      <x:c r="B14" s="108" t="str">
        <x:v>Constraint menjadi self-referencing.</x:v>
      </x:c>
      <x:c r="C14" s="108" t="str">
        <x:v>Energy cap = historical baseline x (1-target reduction).</x:v>
      </x:c>
      <x:c r="D14" s="108" t="str">
        <x:v>Cap bersifat exogenous dan bisa diuji skenario.</x:v>
      </x:c>
    </x:row>
    <x:row r="16">
      <x:c r="A16" s="116" t="str">
        <x:v>HIERARKI KEPUTUSAN YANG DIREKOMENDASIKAN</x:v>
      </x:c>
      <x:c r="B16" s="116"/>
      <x:c r="C16" s="116"/>
      <x:c r="D16" s="116"/>
      <x:c r="E16" s="116"/>
      <x:c r="F16" s="116"/>
      <x:c r="G16" s="116"/>
      <x:c r="H16" s="116"/>
      <x:c r="I16" s="116"/>
      <x:c r="J16" s="116"/>
    </x:row>
    <x:row r="17">
      <x:c r="A17" s="103" t="str">
        <x:v>Tahap</x:v>
      </x:c>
      <x:c r="B17" s="103" t="str">
        <x:v>Objective Solver</x:v>
      </x:c>
      <x:c r="C17" s="103" t="str">
        <x:v>Constraint Tambahan</x:v>
      </x:c>
      <x:c r="D17" s="103" t="str">
        <x:v>Makna Bisnis</x:v>
      </x:c>
    </x:row>
    <x:row r="18">
      <x:c r="A18" s="108" t="str">
        <x:v>1 — Profit Max</x:v>
      </x:c>
      <x:c r="B18" s="108" t="str">
        <x:v>MAX Routing Contribution</x:v>
      </x:c>
      <x:c r="C18" s="108" t="str">
        <x:v>Supply, PO ceiling, quality, capacity, container, energy</x:v>
      </x:c>
      <x:c r="D18" s="108" t="str">
        <x:v>Cari economic ceiling dari resource yang tersedia.</x:v>
      </x:c>
    </x:row>
    <x:row r="19">
      <x:c r="A19" s="108" t="str">
        <x:v>2 — Excess Min</x:v>
      </x:c>
      <x:c r="B19" s="108" t="str">
        <x:v>MIN Ending Residual</x:v>
      </x:c>
      <x:c r="C19" s="108" t="str">
        <x:v>Contribution &gt;= X% dari Profit Max</x:v>
      </x:c>
      <x:c r="D19" s="108" t="str">
        <x:v>Kurangi WIP/MTS tanpa mengorbankan terlalu banyak value.</x:v>
      </x:c>
    </x:row>
    <x:row r="20">
      <x:c r="A20" s="108" t="str">
        <x:v>3 — Energy Min</x:v>
      </x:c>
      <x:c r="B20" s="108" t="str">
        <x:v>MIN kWh</x:v>
      </x:c>
      <x:c r="C20" s="108" t="str">
        <x:v>Contribution floor + residual cap</x:v>
      </x:c>
      <x:c r="D20" s="108" t="str">
        <x:v>Cari mix paling hemat energi di dalam solusi yang tetap ekonomis.</x:v>
      </x:c>
    </x:row>
    <x:row r="22">
      <x:c r="A22" s="121" t="str">
        <x:v>Inti model: Aruna tidak lagi mulai dari 'buyer meminta SKU apa lalu resource dipaksa mengikuti'. Model mulai dari resource aktual (whole fish + WIP yang sudah tersedia), lalu memilih routing SKU yang paling bernilai dengan PO sebagai batas pasar, kualitas sebagai hard constraint, dan excess serta energi sebagai outcome yang harus dikendalikan.</x:v>
      </x:c>
      <x:c r="B22" s="121"/>
      <x:c r="C22" s="121"/>
      <x:c r="D22" s="121"/>
      <x:c r="E22" s="121"/>
      <x:c r="F22" s="121"/>
      <x:c r="G22" s="121"/>
      <x:c r="H22" s="121"/>
      <x:c r="I22" s="121"/>
      <x:c r="J22" s="121"/>
    </x:row>
    <x:row r="23">
      <x:c r="A23" s="121"/>
      <x:c r="B23" s="121"/>
      <x:c r="C23" s="121"/>
      <x:c r="D23" s="121"/>
      <x:c r="E23" s="121"/>
      <x:c r="F23" s="121"/>
      <x:c r="G23" s="121"/>
      <x:c r="H23" s="121"/>
      <x:c r="I23" s="121"/>
      <x:c r="J23" s="121"/>
    </x:row>
    <x:row r="24">
      <x:c r="A24" s="121"/>
      <x:c r="B24" s="121"/>
      <x:c r="C24" s="121"/>
      <x:c r="D24" s="121"/>
      <x:c r="E24" s="121"/>
      <x:c r="F24" s="121"/>
      <x:c r="G24" s="121"/>
      <x:c r="H24" s="121"/>
      <x:c r="I24" s="121"/>
      <x:c r="J24" s="121"/>
    </x:row>
  </x:sheetData>
  <x:mergeCells>
    <x:mergeCell ref="A1:J1"/>
    <x:mergeCell ref="A9:J9"/>
    <x:mergeCell ref="A16:J16"/>
    <x:mergeCell ref="A22:J24"/>
  </x:mergeCells>
  <x:pageMargins left="0.7" right="0.7" top="0.75" bottom="0.75" header="0.3" footer="0.3"/>
</x:worksheet>
</file>

<file path=xl/worksheets/sheet15.xml><?xml version="1.0" encoding="utf-8"?>
<x:worksheet xmlns:x="http://schemas.openxmlformats.org/spreadsheetml/2006/main">
  <x:sheetFormatPr defaultRowHeight="15"/>
  <x:cols>
    <x:col min="1" max="1" width="30" hidden="0" customWidth="1"/>
    <x:col min="2" max="2" width="16" hidden="0" customWidth="1"/>
    <x:col min="3" max="3" width="18" hidden="0" customWidth="1"/>
    <x:col min="4" max="4" width="14" hidden="0" customWidth="1"/>
    <x:col min="5" max="5" width="52" hidden="0" customWidth="1"/>
    <x:col min="6" max="6" width="24" hidden="0" customWidth="1"/>
  </x:cols>
  <x:sheetData>
    <x:row r="1" ht="26" customHeight="1">
      <x:c r="A1" s="95" t="str">
        <x:v>FINAL — CONTROL PANEL (KUNING = INPUT/SCENARIO)</x:v>
      </x:c>
      <x:c r="B1" s="95"/>
      <x:c r="C1" s="95"/>
      <x:c r="D1" s="95"/>
      <x:c r="E1" s="95"/>
      <x:c r="F1" s="95"/>
    </x:row>
    <x:row r="3">
      <x:c r="A3" s="103" t="str">
        <x:v>Parameter</x:v>
      </x:c>
      <x:c r="B3" s="103" t="str">
        <x:v>Nilai</x:v>
      </x:c>
      <x:c r="C3" s="103" t="str">
        <x:v>Satuan</x:v>
      </x:c>
      <x:c r="D3" s="103" t="str">
        <x:v>Tipe</x:v>
      </x:c>
      <x:c r="E3" s="103" t="str">
        <x:v>Sumber / Catatan</x:v>
      </x:c>
      <x:c r="F3" s="103" t="str">
        <x:v>Dipakai untuk</x:v>
      </x:c>
    </x:row>
    <x:row r="4">
      <x:c r="A4" s="144" t="str">
        <x:v>Whole fish tersedia / shipment</x:v>
      </x:c>
      <x:c r="B4" s="145" t="n">
        <x:f>Cost!D28</x:f>
        <x:v>50136</x:v>
      </x:c>
      <x:c r="C4" s="108" t="str">
        <x:v>kg whole</x:v>
      </x:c>
      <x:c r="D4" s="108" t="str">
        <x:v>Source</x:v>
      </x:c>
      <x:c r="E4" s="108" t="str">
        <x:v>Cost!D28 — WGG</x:v>
      </x:c>
      <x:c r="F4" s="108" t="str">
        <x:v>Supply fresh fish</x:v>
      </x:c>
    </x:row>
    <x:row r="5">
      <x:c r="A5" s="144" t="str">
        <x:v>WIP ST/SK carry-in</x:v>
      </x:c>
      <x:c r="B5" s="145" t="n">
        <x:f>Cost!D31</x:f>
        <x:v>8643</x:v>
      </x:c>
      <x:c r="C5" s="108" t="str">
        <x:v>kg loin</x:v>
      </x:c>
      <x:c r="D5" s="108" t="str">
        <x:v>Source</x:v>
      </x:c>
      <x:c r="E5" s="108" t="str">
        <x:v>Cost!D31 — resource yang sudah menjadi WIP</x:v>
      </x:c>
      <x:c r="F5" s="108" t="str">
        <x:v>Supply tambahan Saku/Steak</x:v>
      </x:c>
    </x:row>
    <x:row r="6">
      <x:c r="A6" s="144" t="str">
        <x:v>Gunakan existing FG stock dulu?</x:v>
      </x:c>
      <x:c r="B6" s="146" t="n">
        <x:v>1</x:v>
      </x:c>
      <x:c r="C6" s="108" t="str">
        <x:v>0/1</x:v>
      </x:c>
      <x:c r="D6" s="108" t="str">
        <x:v>Policy</x:v>
      </x:c>
      <x:c r="E6" s="108" t="str">
        <x:v>1 = kurangi PO produksi sebesar stock tersedia</x:v>
      </x:c>
      <x:c r="F6" s="108" t="str">
        <x:v>Inventory cleanup</x:v>
      </x:c>
    </x:row>
    <x:row r="7">
      <x:c r="A7" s="144" t="str">
        <x:v>Kapasitas kontainer</x:v>
      </x:c>
      <x:c r="B7" s="146" t="n">
        <x:v>19000</x:v>
      </x:c>
      <x:c r="C7" s="108" t="str">
        <x:v>kg FG</x:v>
      </x:c>
      <x:c r="D7" s="108" t="str">
        <x:v>Source</x:v>
      </x:c>
      <x:c r="E7" s="108" t="str">
        <x:v>Technical meeting: sekitar 19 ton FG</x:v>
      </x:c>
      <x:c r="F7" s="108" t="str">
        <x:v>Shipment cap</x:v>
      </x:c>
    </x:row>
    <x:row r="8">
      <x:c r="A8" s="144" t="str">
        <x:v>Minimum shipment fill</x:v>
      </x:c>
      <x:c r="B8" s="146" t="n">
        <x:v>0</x:v>
      </x:c>
      <x:c r="C8" s="108" t="str">
        <x:v>kg FG</x:v>
      </x:c>
      <x:c r="D8" s="108" t="str">
        <x:v>Scenario</x:v>
      </x:c>
      <x:c r="E8" s="108" t="str">
        <x:v>0 = hanya maksimum; isi 19.000 bila ingin fixed full-container</x:v>
      </x:c>
      <x:c r="F8" s="108" t="str">
        <x:v>Optional lower bound</x:v>
      </x:c>
    </x:row>
    <x:row r="9">
      <x:c r="A9" s="144" t="str">
        <x:v>Kapasitas olah harian</x:v>
      </x:c>
      <x:c r="B9" s="146" t="n">
        <x:v>4500</x:v>
      </x:c>
      <x:c r="C9" s="108" t="str">
        <x:v>kg whole/hari</x:v>
      </x:c>
      <x:c r="D9" s="108" t="str">
        <x:v>Source</x:v>
      </x:c>
      <x:c r="E9" s="108" t="str">
        <x:v>Notulensi/working model sebelumnya</x:v>
      </x:c>
      <x:c r="F9" s="108" t="str">
        <x:v>Capacity</x:v>
      </x:c>
    </x:row>
    <x:row r="10">
      <x:c r="A10" s="144" t="str">
        <x:v>Horizon</x:v>
      </x:c>
      <x:c r="B10" s="146" t="n">
        <x:v>30</x:v>
      </x:c>
      <x:c r="C10" s="108" t="str">
        <x:v>hari kerja</x:v>
      </x:c>
      <x:c r="D10" s="108" t="str">
        <x:v>Scenario</x:v>
      </x:c>
      <x:c r="E10" s="108" t="str">
        <x:v>Planning horizon</x:v>
      </x:c>
      <x:c r="F10" s="108" t="str">
        <x:v>Capacity</x:v>
      </x:c>
    </x:row>
    <x:row r="11">
      <x:c r="A11" s="144" t="str">
        <x:v>Plafon shipment bulanan</x:v>
      </x:c>
      <x:c r="B11" s="146" t="n">
        <x:v>60000</x:v>
      </x:c>
      <x:c r="C11" s="108" t="str">
        <x:v>kg FG/bulan</x:v>
      </x:c>
      <x:c r="D11" s="108" t="str">
        <x:v>Source</x:v>
      </x:c>
      <x:c r="E11" s="108" t="str">
        <x:v>Notulensi/working model sebelumnya</x:v>
      </x:c>
      <x:c r="F11" s="108" t="str">
        <x:v>Monthly capacity</x:v>
      </x:c>
    </x:row>
    <x:row r="12">
      <x:c r="A12" s="144" t="str">
        <x:v>Kurs</x:v>
      </x:c>
      <x:c r="B12" s="145" t="n">
        <x:f>Cost!H2</x:f>
        <x:v>16481</x:v>
      </x:c>
      <x:c r="C12" s="108" t="str">
        <x:v>Rp/USD</x:v>
      </x:c>
      <x:c r="D12" s="108" t="str">
        <x:v>Source</x:v>
      </x:c>
      <x:c r="E12" s="108" t="str">
        <x:v>Cost!H2 — dikunci technical meeting</x:v>
      </x:c>
      <x:c r="F12" s="108" t="str">
        <x:v>Revenue conversion</x:v>
      </x:c>
    </x:row>
    <x:row r="13">
      <x:c r="A13" s="144" t="str">
        <x:v>Konversi lbs ke kg</x:v>
      </x:c>
      <x:c r="B13" s="146" t="n">
        <x:v>2.2046226218</x:v>
      </x:c>
      <x:c r="C13" s="108" t="str">
        <x:v>lbs/kg</x:v>
      </x:c>
      <x:c r="D13" s="108" t="str">
        <x:v>Constant</x:v>
      </x:c>
      <x:c r="E13" s="108" t="str">
        <x:v>Konstanta</x:v>
      </x:c>
      <x:c r="F13" s="108" t="str">
        <x:v>Revenue conversion</x:v>
      </x:c>
    </x:row>
    <x:row r="14">
      <x:c r="A14" s="144" t="str">
        <x:v>Tarif listrik</x:v>
      </x:c>
      <x:c r="B14" s="146" t="n">
        <x:v>1114.74</x:v>
      </x:c>
      <x:c r="C14" s="108" t="str">
        <x:v>Rp/kWh</x:v>
      </x:c>
      <x:c r="D14" s="108" t="str">
        <x:v>Secondary</x:v>
      </x:c>
      <x:c r="E14" s="108" t="str">
        <x:v>Dipakai untuk KPI cost equivalent; bukan double-count objective</x:v>
      </x:c>
      <x:c r="F14" s="108" t="str">
        <x:v>Energy KPI</x:v>
      </x:c>
    </x:row>
    <x:row r="15">
      <x:c r="A15" s="144" t="str">
        <x:v>Historical energy intensity</x:v>
      </x:c>
      <x:c r="B15" s="204" t="n">
        <x:f>A3_Energi!K70</x:f>
        <x:v>0.46364753441505085</x:v>
      </x:c>
      <x:c r="C15" s="108" t="str">
        <x:v>kWh/kg FG</x:v>
      </x:c>
      <x:c r="D15" s="108" t="str">
        <x:v>Derived</x:v>
      </x:c>
      <x:c r="E15" s="108" t="str">
        <x:v>A3_Energi!K70 — historical mix</x:v>
      </x:c>
      <x:c r="F15" s="108" t="str">
        <x:v>Energy benchmark</x:v>
      </x:c>
    </x:row>
    <x:row r="16">
      <x:c r="A16" s="144" t="str">
        <x:v>Target pengurangan intensitas</x:v>
      </x:c>
      <x:c r="B16" s="158" t="n">
        <x:v>0</x:v>
      </x:c>
      <x:c r="C16" s="108" t="str">
        <x:v>% vs historical</x:v>
      </x:c>
      <x:c r="D16" s="108" t="str">
        <x:v>Scenario</x:v>
      </x:c>
      <x:c r="E16" s="108" t="str">
        <x:v>Digunakan hanya bila energy constraint diaktifkan</x:v>
      </x:c>
      <x:c r="F16" s="108" t="str">
        <x:v>Energy scenario</x:v>
      </x:c>
    </x:row>
    <x:row r="17">
      <x:c r="A17" s="144" t="str">
        <x:v>Energy intensity cap</x:v>
      </x:c>
      <x:c r="B17" s="206" t="n">
        <x:f>B15*(1-B16)</x:f>
        <x:v>0.46364753441505085</x:v>
      </x:c>
      <x:c r="C17" s="108" t="str">
        <x:v>kWh/kg FG</x:v>
      </x:c>
      <x:c r="D17" s="108" t="str">
        <x:v>Formula</x:v>
      </x:c>
      <x:c r="E17" s="108" t="str">
        <x:v>Historical intensity x (1-target)</x:v>
      </x:c>
      <x:c r="F17" s="108" t="str">
        <x:v>Run 3 / optional hard constraint</x:v>
      </x:c>
    </x:row>
    <x:row r="18">
      <x:c r="A18" s="144" t="str">
        <x:v>Profit retention floor</x:v>
      </x:c>
      <x:c r="B18" s="146" t="n">
        <x:v>0.95</x:v>
      </x:c>
      <x:c r="C18" s="108" t="str">
        <x:v>% Profit Max</x:v>
      </x:c>
      <x:c r="D18" s="108" t="str">
        <x:v>Scenario</x:v>
      </x:c>
      <x:c r="E18" s="108" t="str">
        <x:v>Dipakai saat objective tahap 2/3, bukan fakta Aruna</x:v>
      </x:c>
      <x:c r="F18" s="108" t="str">
        <x:v>Excess/Energy frontier</x:v>
      </x:c>
    </x:row>
    <x:row r="19">
      <x:c r="A19" s="144" t="str">
        <x:v>Ground Meat price</x:v>
      </x:c>
      <x:c r="B19" s="146" t="n">
        <x:v>2</x:v>
      </x:c>
      <x:c r="C19" s="108" t="str">
        <x:v>USD/lbs</x:v>
      </x:c>
      <x:c r="D19" s="108" t="str">
        <x:v>Assumption</x:v>
      </x:c>
      <x:c r="E19" s="108" t="str">
        <x:v>Technical note: lebih rendah dari Medallion; update jika dikonfirmasi</x:v>
      </x:c>
      <x:c r="F19" s="108" t="str">
        <x:v>SKU economics</x:v>
      </x:c>
    </x:row>
    <x:row r="20">
      <x:c r="A20" s="144" t="str">
        <x:v>Ground Meat PO ceiling</x:v>
      </x:c>
      <x:c r="B20" s="146" t="n">
        <x:v>0</x:v>
      </x:c>
      <x:c r="C20" s="108" t="str">
        <x:v>kg FG</x:v>
      </x:c>
      <x:c r="D20" s="108" t="str">
        <x:v>Assumption</x:v>
      </x:c>
      <x:c r="E20" s="108" t="str">
        <x:v>Belum ada PO</x:v>
      </x:c>
      <x:c r="F20" s="108" t="str">
        <x:v>Demand ceiling</x:v>
      </x:c>
    </x:row>
    <x:row r="21">
      <x:c r="A21" s="108" t="str">
        <x:v>Energy constraint active?</x:v>
      </x:c>
      <x:c r="B21" s="162" t="n">
        <x:v>0</x:v>
      </x:c>
      <x:c r="C21" s="108" t="str">
        <x:v>0/1</x:v>
      </x:c>
      <x:c r="D21" s="108" t="str">
        <x:v>Policy</x:v>
      </x:c>
      <x:c r="E21" s="108" t="str">
        <x:v>0 = tidak dipakai di Run 1; 1 = aktifkan pada scenario / Run 3</x:v>
      </x:c>
      <x:c r="F21" s="108" t="str">
        <x:v>Solver constraint switch</x:v>
      </x:c>
    </x:row>
  </x:sheetData>
  <x:mergeCells>
    <x:mergeCell ref="A1:F1"/>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5" hidden="0" customWidth="1"/>
    <x:col min="4" max="4" width="14" hidden="0" customWidth="1"/>
    <x:col min="5" max="5" width="16" hidden="0" customWidth="1"/>
    <x:col min="6" max="6" width="13" hidden="0" customWidth="1"/>
    <x:col min="7" max="7" width="18" hidden="0" customWidth="1"/>
    <x:col min="8" max="8" width="13" hidden="0" customWidth="1"/>
    <x:col min="9" max="9" width="18" hidden="0" customWidth="1"/>
    <x:col min="10" max="10" width="20" hidden="0" customWidth="1"/>
    <x:col min="11" max="11" width="20" hidden="0" customWidth="1"/>
    <x:col min="12" max="12" width="16" hidden="0" customWidth="1"/>
  </x:cols>
  <x:sheetData>
    <x:row r="1" ht="26" customHeight="1">
      <x:c r="A1" s="95" t="str">
        <x:v>FINAL — SKU ECONOMICS: RANKING ROUTING BERBASIS INCREMENTAL VALUE</x:v>
      </x:c>
      <x:c r="B1" s="95"/>
      <x:c r="C1" s="95"/>
      <x:c r="D1" s="95"/>
      <x:c r="E1" s="95"/>
      <x:c r="F1" s="95"/>
      <x:c r="G1" s="95"/>
      <x:c r="H1" s="95"/>
      <x:c r="I1" s="95"/>
      <x:c r="J1" s="95"/>
      <x:c r="K1" s="95"/>
      <x:c r="L1" s="95"/>
    </x:row>
    <x:row r="3">
      <x:c r="A3" s="103" t="str">
        <x:v>SKU</x:v>
      </x:c>
      <x:c r="B3" s="103" t="str">
        <x:v>PO (kg FG)</x:v>
      </x:c>
      <x:c r="C3" s="103" t="str">
        <x:v>Existing FG Stock</x:v>
      </x:c>
      <x:c r="D3" s="103" t="str">
        <x:v>Stock dipakai</x:v>
      </x:c>
      <x:c r="E3" s="103" t="str">
        <x:v>Net PO Produksi</x:v>
      </x:c>
      <x:c r="F3" s="103" t="str">
        <x:v>Harga USD/lbs</x:v>
      </x:c>
      <x:c r="G3" s="103" t="str">
        <x:v>Revenue Rp/kg FG</x:v>
      </x:c>
      <x:c r="H3" s="103" t="str">
        <x:v>rho Loin→FG</x:v>
      </x:c>
      <x:c r="I3" s="103" t="str">
        <x:v>Conversion Rp/kg FG</x:v>
      </x:c>
      <x:c r="J3" s="103" t="str">
        <x:v>Incremental Contribution Rp/kg FG</x:v>
      </x:c>
      <x:c r="K3" s="103" t="str">
        <x:v>Contribution Rp/kg Loin</x:v>
      </x:c>
      <x:c r="L3" s="103" t="str">
        <x:v>Energy kWh/kg FG</x:v>
      </x:c>
    </x:row>
    <x:row r="4">
      <x:c r="A4" s="144" t="str">
        <x:v>Saku 16 OZ</x:v>
      </x:c>
      <x:c r="B4" s="145" t="n">
        <x:f>Cost!E8</x:f>
        <x:v>5416.22</x:v>
      </x:c>
      <x:c r="C4" s="145" t="n">
        <x:f>Cost!D36</x:f>
        <x:v>181.41</x:v>
      </x:c>
      <x:c r="D4" s="145" t="n">
        <x:f>IF(FINAL_01_Kendali!$B$6=1,MIN(B4,C4),0)</x:f>
        <x:v>181.41</x:v>
      </x:c>
      <x:c r="E4" s="145" t="n">
        <x:f>MAX(B4-D4,0)</x:f>
        <x:v>5234.81</x:v>
      </x:c>
      <x:c r="F4" s="145" t="n">
        <x:f>Price!C6</x:f>
        <x:v>6.75</x:v>
      </x:c>
      <x:c r="G4" s="145" t="n">
        <x:f>F4*FINAL_01_Kendali!$B$13*FINAL_01_Kendali!$B$12</x:f>
        <x:v>245257.10165172914</x:v>
      </x:c>
      <x:c r="H4" s="158" t="n">
        <x:v>0.524176408076514</x:v>
      </x:c>
      <x:c r="I4" s="147" t="n">
        <x:f>(Cost!I$16+Cost!J$16+Cost!K$16)/Cost!E$16</x:f>
        <x:v>39684.27928514217</x:v>
      </x:c>
      <x:c r="J4" s="147" t="n">
        <x:f>G4-I4</x:f>
        <x:v>205572.82236658697</x:v>
      </x:c>
      <x:c r="K4" s="147" t="n">
        <x:f>J4*H4</x:f>
        <x:v>107756.42362626882</x:v>
      </x:c>
      <x:c r="L4" s="147" t="n">
        <x:f>A3_Energi!C60</x:f>
        <x:v>0.6361370260030257</x:v>
      </x:c>
    </x:row>
    <x:row r="5">
      <x:c r="A5" s="144" t="str">
        <x:v>Steak 4 OZ</x:v>
      </x:c>
      <x:c r="B5" s="145" t="n">
        <x:f>Cost!E9</x:f>
        <x:v>2270</x:v>
      </x:c>
      <x:c r="C5" s="145" t="n">
        <x:f>Cost!D37</x:f>
        <x:v>2121.67</x:v>
      </x:c>
      <x:c r="D5" s="145" t="n">
        <x:f>IF(FINAL_01_Kendali!$B$6=1,MIN(B5,C5),0)</x:f>
        <x:v>2121.67</x:v>
      </x:c>
      <x:c r="E5" s="145" t="n">
        <x:f>MAX(B5-D5,0)</x:f>
        <x:v>148.32999999999993</x:v>
      </x:c>
      <x:c r="F5" s="145" t="n">
        <x:f>Price!C7</x:f>
        <x:v>3.25</x:v>
      </x:c>
      <x:c r="G5" s="145" t="n">
        <x:f>F5*FINAL_01_Kendali!$B$13*FINAL_01_Kendali!$B$12</x:f>
        <x:v>118086.75264712886</x:v>
      </x:c>
      <x:c r="H5" s="158" t="n">
        <x:v>0.42448896</x:v>
      </x:c>
      <x:c r="I5" s="147" t="n">
        <x:f>(Cost!I$16+Cost!J$16+Cost!K$16)/Cost!E$16</x:f>
        <x:v>39684.27928514217</x:v>
      </x:c>
      <x:c r="J5" s="147" t="n">
        <x:f>G5-I5</x:f>
        <x:v>78402.47336198669</x:v>
      </x:c>
      <x:c r="K5" s="147" t="n">
        <x:f>J5*H5</x:f>
        <x:v>33280.984378857436</x:v>
      </x:c>
      <x:c r="L5" s="147" t="n">
        <x:f>A3_Energi!D60</x:f>
        <x:v>0.42341020244448563</x:v>
      </x:c>
    </x:row>
    <x:row r="6">
      <x:c r="A6" s="144" t="str">
        <x:v>Steak 6 OZ</x:v>
      </x:c>
      <x:c r="B6" s="145" t="n">
        <x:f>Cost!E10</x:f>
        <x:v>2724</x:v>
      </x:c>
      <x:c r="C6" s="145" t="n">
        <x:f>Cost!D38</x:f>
        <x:v>1083.52</x:v>
      </x:c>
      <x:c r="D6" s="145" t="n">
        <x:f>IF(FINAL_01_Kendali!$B$6=1,MIN(B6,C6),0)</x:f>
        <x:v>1083.52</x:v>
      </x:c>
      <x:c r="E6" s="145" t="n">
        <x:f>MAX(B6-D6,0)</x:f>
        <x:v>1640.48</x:v>
      </x:c>
      <x:c r="F6" s="145" t="n">
        <x:f>Price!C8</x:f>
        <x:v>3.7</x:v>
      </x:c>
      <x:c r="G6" s="145" t="n">
        <x:f>F6*FINAL_01_Kendali!$B$13*FINAL_01_Kendali!$B$12</x:f>
        <x:v>134437.22609057746</x:v>
      </x:c>
      <x:c r="H6" s="158" t="n">
        <x:v>0.42448896</x:v>
      </x:c>
      <x:c r="I6" s="147" t="n">
        <x:f>(Cost!I$16+Cost!J$16+Cost!K$16)/Cost!E$16</x:f>
        <x:v>39684.27928514217</x:v>
      </x:c>
      <x:c r="J6" s="147" t="n">
        <x:f>G6-I6</x:f>
        <x:v>94752.94680543529</x:v>
      </x:c>
      <x:c r="K6" s="147" t="n">
        <x:f>J6*H6</x:f>
        <x:v>40221.57984637455</x:v>
      </x:c>
      <x:c r="L6" s="147" t="n">
        <x:f>A3_Energi!E60</x:f>
        <x:v>0.4146743710965685</x:v>
      </x:c>
    </x:row>
    <x:row r="7">
      <x:c r="A7" s="144" t="str">
        <x:v>Steak 8 OZ</x:v>
      </x:c>
      <x:c r="B7" s="145" t="n">
        <x:f>Cost!E11</x:f>
        <x:v>3863.54</x:v>
      </x:c>
      <x:c r="C7" s="145" t="n">
        <x:f>Cost!D39</x:f>
        <x:v>325.24</x:v>
      </x:c>
      <x:c r="D7" s="145" t="n">
        <x:f>IF(FINAL_01_Kendali!$B$6=1,MIN(B7,C7),0)</x:f>
        <x:v>325.24</x:v>
      </x:c>
      <x:c r="E7" s="145" t="n">
        <x:f>MAX(B7-D7,0)</x:f>
        <x:v>3538.3</x:v>
      </x:c>
      <x:c r="F7" s="145" t="n">
        <x:f>Price!C9</x:f>
        <x:v>3.8</x:v>
      </x:c>
      <x:c r="G7" s="145" t="n">
        <x:f>F7*FINAL_01_Kendali!$B$13*FINAL_01_Kendali!$B$12</x:f>
        <x:v>138070.66463356605</x:v>
      </x:c>
      <x:c r="H7" s="158" t="n">
        <x:v>0.42448896</x:v>
      </x:c>
      <x:c r="I7" s="147" t="n">
        <x:f>(Cost!I$16+Cost!J$16+Cost!K$16)/Cost!E$16</x:f>
        <x:v>39684.27928514217</x:v>
      </x:c>
      <x:c r="J7" s="147" t="n">
        <x:f>G7-I7</x:f>
        <x:v>98386.38534842388</x:v>
      </x:c>
      <x:c r="K7" s="147" t="n">
        <x:f>J7*H7</x:f>
        <x:v>41763.934394711694</x:v>
      </x:c>
      <x:c r="L7" s="147" t="n">
        <x:f>A3_Energi!F60</x:f>
        <x:v>0.409349092087079</x:v>
      </x:c>
    </x:row>
    <x:row r="8">
      <x:c r="A8" s="144" t="str">
        <x:v>Steak 10 OZ</x:v>
      </x:c>
      <x:c r="B8" s="145" t="n">
        <x:f>Cost!E12</x:f>
        <x:v>2542.4</x:v>
      </x:c>
      <x:c r="C8" s="145" t="n">
        <x:f>Cost!D40</x:f>
        <x:v>35.28</x:v>
      </x:c>
      <x:c r="D8" s="145" t="n">
        <x:f>IF(FINAL_01_Kendali!$B$6=1,MIN(B8,C8),0)</x:f>
        <x:v>35.28</x:v>
      </x:c>
      <x:c r="E8" s="145" t="n">
        <x:f>MAX(B8-D8,0)</x:f>
        <x:v>2507.12</x:v>
      </x:c>
      <x:c r="F8" s="145" t="n">
        <x:f>Price!C10</x:f>
        <x:v>3.8</x:v>
      </x:c>
      <x:c r="G8" s="145" t="n">
        <x:f>F8*FINAL_01_Kendali!$B$13*FINAL_01_Kendali!$B$12</x:f>
        <x:v>138070.66463356605</x:v>
      </x:c>
      <x:c r="H8" s="158" t="n">
        <x:v>0.42448896</x:v>
      </x:c>
      <x:c r="I8" s="147" t="n">
        <x:f>(Cost!I$16+Cost!J$16+Cost!K$16)/Cost!E$16</x:f>
        <x:v>39684.27928514217</x:v>
      </x:c>
      <x:c r="J8" s="147" t="n">
        <x:f>G8-I8</x:f>
        <x:v>98386.38534842388</x:v>
      </x:c>
      <x:c r="K8" s="147" t="n">
        <x:f>J8*H8</x:f>
        <x:v>41763.934394711694</x:v>
      </x:c>
      <x:c r="L8" s="147" t="n">
        <x:f>A3_Energi!G60</x:f>
        <x:v>0.40614267409192867</x:v>
      </x:c>
    </x:row>
    <x:row r="9">
      <x:c r="A9" s="144" t="str">
        <x:v>Poke 1.5 CM</x:v>
      </x:c>
      <x:c r="B9" s="145" t="n">
        <x:f>Cost!E13</x:f>
        <x:v>2270</x:v>
      </x:c>
      <x:c r="C9" s="145" t="n">
        <x:v>0</x:v>
      </x:c>
      <x:c r="D9" s="145" t="n">
        <x:f>IF(FINAL_01_Kendali!$B$6=1,MIN(B9,C9),0)</x:f>
        <x:v>0</x:v>
      </x:c>
      <x:c r="E9" s="145" t="n">
        <x:f>MAX(B9-D9,0)</x:f>
        <x:v>2270</x:v>
      </x:c>
      <x:c r="F9" s="145" t="n">
        <x:f>Price!C11</x:f>
        <x:v>3.5</x:v>
      </x:c>
      <x:c r="G9" s="145" t="n">
        <x:f>F9*FINAL_01_Kendali!$B$13*FINAL_01_Kendali!$B$12</x:f>
        <x:v>127170.3490046003</x:v>
      </x:c>
      <x:c r="H9" s="158" t="n">
        <x:v>0.466123882175382</x:v>
      </x:c>
      <x:c r="I9" s="147" t="n">
        <x:f>(Cost!I$16+Cost!J$16+Cost!K$16)/Cost!E$16</x:f>
        <x:v>39684.27928514217</x:v>
      </x:c>
      <x:c r="J9" s="147" t="n">
        <x:f>G9-I9</x:f>
        <x:v>87486.06971945813</x:v>
      </x:c>
      <x:c r="K9" s="147" t="n">
        <x:f>J9*H9</x:f>
        <x:v>40779.346453899954</x:v>
      </x:c>
      <x:c r="L9" s="147" t="n">
        <x:f>A3_Energi!H60</x:f>
        <x:v>0.3068405981776004</x:v>
      </x:c>
    </x:row>
    <x:row r="10">
      <x:c r="A10" s="144" t="str">
        <x:v>Medallion 2-3 OZ</x:v>
      </x:c>
      <x:c r="B10" s="145" t="n">
        <x:f>Cost!E14</x:f>
        <x:v>889.84</x:v>
      </x:c>
      <x:c r="C10" s="145" t="n">
        <x:v>0</x:v>
      </x:c>
      <x:c r="D10" s="145" t="n">
        <x:f>IF(FINAL_01_Kendali!$B$6=1,MIN(B10,C10),0)</x:f>
        <x:v>0</x:v>
      </x:c>
      <x:c r="E10" s="145" t="n">
        <x:f>MAX(B10-D10,0)</x:f>
        <x:v>889.84</x:v>
      </x:c>
      <x:c r="F10" s="145" t="n">
        <x:f>Price!C12</x:f>
        <x:v>2.5</x:v>
      </x:c>
      <x:c r="G10" s="145" t="n">
        <x:f>F10*FINAL_01_Kendali!$B$13*FINAL_01_Kendali!$B$12</x:f>
        <x:v>90835.96357471451</x:v>
      </x:c>
      <x:c r="H10" s="158" t="n">
        <x:v>0.45</x:v>
      </x:c>
      <x:c r="I10" s="147" t="n">
        <x:f>(Cost!I$16+Cost!J$16+Cost!K$16)/Cost!E$16</x:f>
        <x:v>39684.27928514217</x:v>
      </x:c>
      <x:c r="J10" s="147" t="n">
        <x:f>G10-I10</x:f>
        <x:v>51151.68428957234</x:v>
      </x:c>
      <x:c r="K10" s="147" t="n">
        <x:f>J10*H10</x:f>
        <x:v>23018.257930307554</x:v>
      </x:c>
      <x:c r="L10" s="147" t="n">
        <x:f>A3_Energi!I60</x:f>
        <x:v>0.46638613050023364</x:v>
      </x:c>
    </x:row>
    <x:row r="11">
      <x:c r="A11" s="144" t="str">
        <x:v>Ground Meat</x:v>
      </x:c>
      <x:c r="B11" s="145" t="n">
        <x:f>FINAL_01_Kendali!B20</x:f>
        <x:v>0</x:v>
      </x:c>
      <x:c r="C11" s="145" t="n">
        <x:v>0</x:v>
      </x:c>
      <x:c r="D11" s="145" t="n">
        <x:f>IF(FINAL_01_Kendali!$B$6=1,MIN(B11,C11),0)</x:f>
        <x:v>0</x:v>
      </x:c>
      <x:c r="E11" s="145" t="n">
        <x:f>MAX(B11-D11,0)</x:f>
        <x:v>0</x:v>
      </x:c>
      <x:c r="F11" s="145" t="n">
        <x:f>FINAL_01_Kendali!B19</x:f>
        <x:v>2</x:v>
      </x:c>
      <x:c r="G11" s="145" t="n">
        <x:f>F11*FINAL_01_Kendali!$B$13*FINAL_01_Kendali!$B$12</x:f>
        <x:v>72668.7708597716</x:v>
      </x:c>
      <x:c r="H11" s="158" t="n">
        <x:v>0.55</x:v>
      </x:c>
      <x:c r="I11" s="147" t="n">
        <x:f>(Cost!I$16+Cost!J$16+Cost!K$16)/Cost!E$16</x:f>
        <x:v>39684.27928514217</x:v>
      </x:c>
      <x:c r="J11" s="147" t="n">
        <x:f>G11-I11</x:f>
        <x:v>32984.49157462943</x:v>
      </x:c>
      <x:c r="K11" s="147" t="n">
        <x:f>J11*H11</x:f>
        <x:v>18141.470366046186</x:v>
      </x:c>
      <x:c r="L11" s="147" t="n">
        <x:f>A3_Energi!J60</x:f>
        <x:v>0.2658957177324621</x:v>
      </x:c>
    </x:row>
    <x:row r="14">
      <x:c r="A14" s="112" t="str">
        <x:v>KENAPA RAW MATERIAL COST TIDAK MASUK RANKING ANTAR-SKU?</x:v>
      </x:c>
      <x:c r="B14" s="112"/>
      <x:c r="C14" s="112"/>
      <x:c r="D14" s="112"/>
      <x:c r="E14" s="112"/>
      <x:c r="F14" s="112"/>
      <x:c r="G14" s="112"/>
      <x:c r="H14" s="112"/>
      <x:c r="I14" s="112"/>
      <x:c r="J14" s="112"/>
      <x:c r="K14" s="112"/>
      <x:c r="L14" s="112"/>
    </x:row>
    <x:row r="15">
      <x:c r="A15" s="154" t="str">
        <x:v>Untuk pertanyaan routing, whole fish dan WIP diperlakukan sebagai resource yang sudah tersedia. Biaya pembelian resource tersebut tetap dihitung di total P&amp;L shipment, tetapi nilainya konstan terhadap pilihan SKU. Karena itu ranking Solver menggunakan incremental value setelah conversion cost. Ini mencegah model menolak SKU hanya karena fixed RM cost dialokasikan berulang. Energy dipantau sebagai KPI/constraint terpisah agar tidak berisiko double-count dengan overhead pada sheet Cost.</x:v>
      </x:c>
      <x:c r="B15" s="154"/>
      <x:c r="C15" s="154"/>
      <x:c r="D15" s="154"/>
      <x:c r="E15" s="154"/>
      <x:c r="F15" s="154"/>
      <x:c r="G15" s="154"/>
      <x:c r="H15" s="154"/>
      <x:c r="I15" s="154"/>
      <x:c r="J15" s="154"/>
      <x:c r="K15" s="154"/>
      <x:c r="L15" s="154"/>
    </x:row>
    <x:row r="16">
      <x:c r="A16" s="154"/>
      <x:c r="B16" s="154"/>
      <x:c r="C16" s="154"/>
      <x:c r="D16" s="154"/>
      <x:c r="E16" s="154"/>
      <x:c r="F16" s="154"/>
      <x:c r="G16" s="154"/>
      <x:c r="H16" s="154"/>
      <x:c r="I16" s="154"/>
      <x:c r="J16" s="154"/>
      <x:c r="K16" s="154"/>
      <x:c r="L16" s="154"/>
    </x:row>
    <x:row r="17">
      <x:c r="A17" s="154"/>
      <x:c r="B17" s="154"/>
      <x:c r="C17" s="154"/>
      <x:c r="D17" s="154"/>
      <x:c r="E17" s="154"/>
      <x:c r="F17" s="154"/>
      <x:c r="G17" s="154"/>
      <x:c r="H17" s="154"/>
      <x:c r="I17" s="154"/>
      <x:c r="J17" s="154"/>
      <x:c r="K17" s="154"/>
      <x:c r="L17" s="154"/>
    </x:row>
    <x:row r="19">
      <x:c r="A19" s="116" t="str">
        <x:v>INPUT YIELD / rho — WAJIB DIUPDATE JIKA ARUNA MEMBERI DATA AKTUAL</x:v>
      </x:c>
      <x:c r="B19" s="116"/>
      <x:c r="C19" s="116"/>
      <x:c r="D19" s="116"/>
      <x:c r="E19" s="116"/>
      <x:c r="F19" s="116"/>
      <x:c r="G19" s="116"/>
      <x:c r="H19" s="116"/>
      <x:c r="I19" s="116"/>
      <x:c r="J19" s="116"/>
      <x:c r="K19" s="116"/>
      <x:c r="L19" s="116"/>
    </x:row>
    <x:row r="20">
      <x:c r="A20" s="103" t="str">
        <x:v>SKU Group</x:v>
      </x:c>
      <x:c r="B20" s="103" t="str">
        <x:v>rho saat ini</x:v>
      </x:c>
      <x:c r="C20" s="103" t="str">
        <x:v>Status</x:v>
      </x:c>
      <x:c r="D20" s="103" t="str">
        <x:v>Dasar</x:v>
      </x:c>
    </x:row>
    <x:row r="21">
      <x:c r="A21" s="108" t="str">
        <x:v>Saku</x:v>
      </x:c>
      <x:c r="B21" s="108" t="n">
        <x:v>0.524176408076514</x:v>
      </x:c>
      <x:c r="C21" s="108" t="str">
        <x:v>Benchmark</x:v>
      </x:c>
      <x:c r="D21" s="108" t="str">
        <x:v>0,3946 / 0,7528 pada model lama; bukan data aktual Aruna.</x:v>
      </x:c>
    </x:row>
    <x:row r="22">
      <x:c r="A22" s="108" t="str">
        <x:v>Steak family</x:v>
      </x:c>
      <x:c r="B22" s="108" t="n">
        <x:v>0.42448896</x:v>
      </x:c>
      <x:c r="C22" s="108" t="str">
        <x:v>Benchmark</x:v>
      </x:c>
      <x:c r="D22" s="108" t="str">
        <x:v>0,6768 × 0,6272 pada model lama.</x:v>
      </x:c>
    </x:row>
    <x:row r="23">
      <x:c r="A23" s="108" t="str">
        <x:v>Poke</x:v>
      </x:c>
      <x:c r="B23" s="108" t="n">
        <x:v>0.466123882175382</x:v>
      </x:c>
      <x:c r="C23" s="108" t="str">
        <x:v>Cross-check case</x:v>
      </x:c>
      <x:c r="D23" s="108" t="str">
        <x:v>2270 / 4869,9 ≈ 46,6%; tetap perlu validasi karena pool dapat menyisakan WIP.</x:v>
      </x:c>
    </x:row>
    <x:row r="24">
      <x:c r="A24" s="108" t="str">
        <x:v>Medallion / Ground Meat</x:v>
      </x:c>
      <x:c r="B24" s="108" t="str">
        <x:v>45% / 55%</x:v>
      </x:c>
      <x:c r="C24" s="108" t="str">
        <x:v>Assumption</x:v>
      </x:c>
      <x:c r="D24" s="108" t="str">
        <x:v>Belum tersedia recovery aktual pada data case.</x:v>
      </x:c>
    </x:row>
  </x:sheetData>
  <x:mergeCells>
    <x:mergeCell ref="A1:L1"/>
    <x:mergeCell ref="A14:L14"/>
    <x:mergeCell ref="A15:L17"/>
    <x:mergeCell ref="A19:L19"/>
  </x:mergeCells>
  <x:pageMargins left="0.7" right="0.7" top="0.75" bottom="0.75" header="0.3" footer="0.3"/>
</x:worksheet>
</file>

<file path=xl/worksheets/sheet17.xml><?xml version="1.0" encoding="utf-8"?>
<x:worksheet xmlns:x="http://schemas.openxmlformats.org/spreadsheetml/2006/main">
  <x:sheetFormatPr defaultRowHeight="15"/>
  <x:cols>
    <x:col min="1" max="1" width="25" hidden="0" customWidth="1"/>
    <x:col min="2" max="2" width="14" hidden="0" customWidth="1"/>
    <x:col min="3" max="3" width="18" hidden="0" customWidth="1"/>
    <x:col min="4" max="4" width="18" hidden="0" customWidth="1"/>
    <x:col min="5" max="5" width="18" hidden="0" customWidth="1"/>
    <x:col min="6" max="6" width="48" hidden="0" customWidth="1"/>
    <x:col min="7" max="7" width="13" hidden="0" customWidth="1"/>
    <x:col min="8" max="8" width="13" hidden="0" customWidth="1"/>
    <x:col min="9" max="9" width="13" hidden="0" customWidth="1"/>
    <x:col min="10" max="10" width="45" hidden="0" customWidth="1"/>
    <x:col min="11" max="11" width="3" hidden="0" customWidth="1"/>
    <x:col min="12" max="12" width="3" hidden="0" customWidth="1"/>
  </x:cols>
  <x:sheetData>
    <x:row r="1" ht="26" customHeight="1">
      <x:c r="A1" s="95" t="str">
        <x:v>FINAL — RESOURCE POOL &amp; QUALITY ELIGIBILITY</x:v>
      </x:c>
      <x:c r="B1" s="95"/>
      <x:c r="C1" s="95"/>
      <x:c r="D1" s="95"/>
      <x:c r="E1" s="95"/>
      <x:c r="F1" s="95"/>
      <x:c r="G1" s="95"/>
      <x:c r="H1" s="95"/>
      <x:c r="I1" s="95"/>
      <x:c r="J1" s="95"/>
      <x:c r="K1" s="95"/>
      <x:c r="L1" s="95"/>
    </x:row>
    <x:row r="3">
      <x:c r="A3" s="116" t="str">
        <x:v>A. FRESH WHOLE FISH → LOIN AVAILABLE PER SIZE-GRADE</x:v>
      </x:c>
      <x:c r="B3" s="116"/>
      <x:c r="C3" s="116"/>
      <x:c r="D3" s="116"/>
      <x:c r="E3" s="116"/>
      <x:c r="F3" s="116"/>
      <x:c r="G3" s="116"/>
      <x:c r="H3" s="116"/>
      <x:c r="I3" s="116"/>
      <x:c r="J3" s="116"/>
      <x:c r="K3" s="116"/>
      <x:c r="L3" s="116"/>
    </x:row>
    <x:row r="4">
      <x:c r="A4" s="103" t="str">
        <x:v>Resource Group</x:v>
      </x:c>
      <x:c r="B4" s="103" t="str">
        <x:v>Share Ledger</x:v>
      </x:c>
      <x:c r="C4" s="103" t="str">
        <x:v>Whole Fish / Shipment</x:v>
      </x:c>
      <x:c r="D4" s="103" t="str">
        <x:v>Whole→Loin Yield</x:v>
      </x:c>
      <x:c r="E4" s="103" t="str">
        <x:v>Loin Available</x:v>
      </x:c>
      <x:c r="F4" s="103" t="str">
        <x:v>Source</x:v>
      </x:c>
    </x:row>
    <x:row r="5">
      <x:c r="A5" t="str">
        <x:v>30 UP Grade B</x:v>
      </x:c>
      <x:c r="B5" s="166" t="n">
        <x:f>A2_Derivasi!C63/A2_Derivasi!C67</x:f>
        <x:v>0.10542151682118209</x:v>
      </x:c>
      <x:c r="C5" s="136" t="n">
        <x:f>FINAL_01_Kendali!$B$4*B5</x:f>
        <x:v>5285.4131673467855</x:v>
      </x:c>
      <x:c r="D5" s="136" t="n">
        <x:f>A2_Derivasi!C8</x:f>
        <x:v>0.5906740809915952</x:v>
      </x:c>
      <x:c r="E5" s="136" t="n">
        <x:f>C5*D5</x:f>
        <x:v>3121.956565283439</x:v>
      </x:c>
      <x:c r="F5" t="str">
        <x:v>Size-grade mix dari ledger detail; diskalakan ke WGG shipment</x:v>
      </x:c>
    </x:row>
    <x:row r="6">
      <x:c r="A6" t="str">
        <x:v>30 UP Grade C</x:v>
      </x:c>
      <x:c r="B6" s="166" t="n">
        <x:f>A2_Derivasi!C64/A2_Derivasi!C67</x:f>
        <x:v>0.74552908212197</x:v>
      </x:c>
      <x:c r="C6" s="136" t="n">
        <x:f>FINAL_01_Kendali!$B$4*B6</x:f>
        <x:v>37377.84606126709</x:v>
      </x:c>
      <x:c r="D6" s="136" t="n">
        <x:f>A2_Derivasi!C8</x:f>
        <x:v>0.5906740809915952</x:v>
      </x:c>
      <x:c r="E6" s="136" t="n">
        <x:f>C6*D6</x:f>
        <x:v>22078.124871684257</x:v>
      </x:c>
      <x:c r="F6" t="str">
        <x:v>Size-grade mix dari ledger detail; diskalakan ke WGG shipment</x:v>
      </x:c>
    </x:row>
    <x:row r="7">
      <x:c r="A7" t="str">
        <x:v>20 UP Grade C</x:v>
      </x:c>
      <x:c r="B7" s="166" t="n">
        <x:f>A2_Derivasi!C65/A2_Derivasi!C67</x:f>
        <x:v>0.11425992440340749</x:v>
      </x:c>
      <x:c r="C7" s="136" t="n">
        <x:f>FINAL_01_Kendali!$B$4*B7</x:f>
        <x:v>5728.535569889238</x:v>
      </x:c>
      <x:c r="D7" s="136" t="n">
        <x:f>A2_Derivasi!C8</x:f>
        <x:v>0.5906740809915952</x:v>
      </x:c>
      <x:c r="E7" s="136" t="n">
        <x:f>C7*D7</x:f>
        <x:v>3383.69748317199</x:v>
      </x:c>
      <x:c r="F7" t="str">
        <x:v>Size-grade mix dari ledger detail; diskalakan ke WGG shipment</x:v>
      </x:c>
    </x:row>
    <x:row r="8">
      <x:c r="A8" t="str">
        <x:v>14 UP Grade C</x:v>
      </x:c>
      <x:c r="B8" s="166" t="n">
        <x:f>A2_Derivasi!C66/A2_Derivasi!C67</x:f>
        <x:v>0.0347894766534404</x:v>
      </x:c>
      <x:c r="C8" s="136" t="n">
        <x:f>FINAL_01_Kendali!$B$4*B8</x:f>
        <x:v>1744.2052014968879</x:v>
      </x:c>
      <x:c r="D8" s="136" t="n">
        <x:f>A2_Derivasi!C8</x:f>
        <x:v>0.5906740809915952</x:v>
      </x:c>
      <x:c r="E8" s="136" t="n">
        <x:f>C8*D8</x:f>
        <x:v>1030.2568044549344</x:v>
      </x:c>
      <x:c r="F8" t="str">
        <x:v>Size-grade mix dari ledger detail; diskalakan ke WGG shipment</x:v>
      </x:c>
    </x:row>
    <x:row r="9">
      <x:c r="A9" s="142" t="str">
        <x:v>TOTAL</x:v>
      </x:c>
      <x:c r="B9" s="164" t="str"/>
      <x:c r="C9" s="168" t="n">
        <x:f>SUM(C5:C8)</x:f>
        <x:v>50136</x:v>
      </x:c>
      <x:c r="D9" s="168" t="str"/>
      <x:c r="E9" s="168" t="n">
        <x:f>SUM(E5:E8)</x:f>
        <x:v>29614.035724594618</x:v>
      </x:c>
      <x:c r="F9" s="142" t="str"/>
    </x:row>
    <x:row r="11">
      <x:c r="A11" s="112" t="str">
        <x:v>B. WIP CARRY-IN YANG SUDAH MENGIKAT MODAL</x:v>
      </x:c>
      <x:c r="B11" s="112"/>
      <x:c r="C11" s="112"/>
      <x:c r="D11" s="112"/>
      <x:c r="E11" s="112"/>
      <x:c r="F11" s="112"/>
      <x:c r="G11" s="112"/>
      <x:c r="H11" s="112"/>
      <x:c r="I11" s="112"/>
      <x:c r="J11" s="112"/>
      <x:c r="K11" s="112"/>
      <x:c r="L11" s="112"/>
    </x:row>
    <x:row r="12">
      <x:c r="A12" s="103" t="str">
        <x:v>Resource</x:v>
      </x:c>
      <x:c r="B12" s="103" t="str">
        <x:v>Available Loin</x:v>
      </x:c>
      <x:c r="C12" s="103" t="str">
        <x:v>Allowed Routing</x:v>
      </x:c>
      <x:c r="D12" s="103" t="str">
        <x:v>Kenapa masuk model</x:v>
      </x:c>
      <x:c r="E12" s="103" t="str">
        <x:v>Source</x:v>
      </x:c>
      <x:c r="F12" s="103" t="str">
        <x:v>Status</x:v>
      </x:c>
    </x:row>
    <x:row r="13">
      <x:c r="A13" s="108" t="str">
        <x:v>WIP ST/SK carry-in</x:v>
      </x:c>
      <x:c r="B13" s="160" t="n">
        <x:f>FINAL_01_Kendali!B5</x:f>
        <x:v>8643</x:v>
      </x:c>
      <x:c r="C13" s="108" t="str">
        <x:v>Saku / Steak family</x:v>
      </x:c>
      <x:c r="D13" s="108" t="str">
        <x:v>Resource sudah berada di WIP; sebaiknya diberi prioritas agar tidak terus menjadi MTS.</x:v>
      </x:c>
      <x:c r="E13" s="108" t="str">
        <x:v>Cost!D31</x:v>
      </x:c>
      <x:c r="F13" s="108" t="str">
        <x:v>Aktif</x:v>
      </x:c>
    </x:row>
    <x:row r="14">
      <x:c r="A14" s="108" t="str">
        <x:v>Existing FG stock</x:v>
      </x:c>
      <x:c r="B14" s="160" t="n">
        <x:f>SUM(FINAL_02_Ekonomi!C4:C11)</x:f>
        <x:v>3747.1200000000003</x:v>
      </x:c>
      <x:c r="C14" s="108" t="str">
        <x:v>Dipakai langsung mengurangi Net PO Produksi</x:v>
      </x:c>
      <x:c r="D14" s="108" t="str">
        <x:v>Tidak diproduksi ulang; prioritas clearance dikontrol FINAL_01_Kendali.</x:v>
      </x:c>
      <x:c r="E14" s="108" t="str">
        <x:v>Cost!D36:D40</x:v>
      </x:c>
      <x:c r="F14" s="108" t="str">
        <x:v>Policy</x:v>
      </x:c>
    </x:row>
    <x:row r="16">
      <x:c r="A16" s="116" t="str">
        <x:v>C. MATRICS ELIGIBILITY (1 = BOLEH, 0 = TIDAK)</x:v>
      </x:c>
      <x:c r="B16" s="116"/>
      <x:c r="C16" s="116"/>
      <x:c r="D16" s="116"/>
      <x:c r="E16" s="116"/>
      <x:c r="F16" s="116"/>
      <x:c r="G16" s="116"/>
      <x:c r="H16" s="116"/>
      <x:c r="I16" s="116"/>
      <x:c r="J16" s="116"/>
      <x:c r="K16" s="116"/>
      <x:c r="L16" s="116"/>
    </x:row>
    <x:row r="17">
      <x:c r="A17" s="103" t="str">
        <x:v>Resource \ SKU</x:v>
      </x:c>
      <x:c r="B17" s="103" t="str">
        <x:v>Saku 16 OZ</x:v>
      </x:c>
      <x:c r="C17" s="103" t="str">
        <x:v>Steak 4 OZ</x:v>
      </x:c>
      <x:c r="D17" s="103" t="str">
        <x:v>Steak 6 OZ</x:v>
      </x:c>
      <x:c r="E17" s="103" t="str">
        <x:v>Steak 8 OZ</x:v>
      </x:c>
      <x:c r="F17" s="103" t="str">
        <x:v>Steak 10 OZ</x:v>
      </x:c>
      <x:c r="G17" s="103" t="str">
        <x:v>Poke 1.5 CM</x:v>
      </x:c>
      <x:c r="H17" s="103" t="str">
        <x:v>Medallion 2-3 OZ</x:v>
      </x:c>
      <x:c r="I17" s="103" t="str">
        <x:v>Ground Meat</x:v>
      </x:c>
      <x:c r="J17" s="103" t="str">
        <x:v>Dasar</x:v>
      </x:c>
    </x:row>
    <x:row r="18">
      <x:c r="A18" s="108" t="str">
        <x:v>30 UP Grade B</x:v>
      </x:c>
      <x:c r="B18" s="162" t="n">
        <x:v>1</x:v>
      </x:c>
      <x:c r="C18" s="162" t="n">
        <x:v>1</x:v>
      </x:c>
      <x:c r="D18" s="162" t="n">
        <x:v>1</x:v>
      </x:c>
      <x:c r="E18" s="162" t="n">
        <x:v>1</x:v>
      </x:c>
      <x:c r="F18" s="162" t="n">
        <x:v>1</x:v>
      </x:c>
      <x:c r="G18" s="162" t="n">
        <x:v>1</x:v>
      </x:c>
      <x:c r="H18" s="162" t="n">
        <x:v>1</x:v>
      </x:c>
      <x:c r="I18" s="162" t="n">
        <x:v>1</x:v>
      </x:c>
      <x:c r="J18" s="108" t="str">
        <x:v>Proxy sementara: semua route terbuka.</x:v>
      </x:c>
    </x:row>
    <x:row r="19">
      <x:c r="A19" s="108" t="str">
        <x:v>30 UP Grade C</x:v>
      </x:c>
      <x:c r="B19" s="162" t="n">
        <x:v>1</x:v>
      </x:c>
      <x:c r="C19" s="162" t="n">
        <x:v>1</x:v>
      </x:c>
      <x:c r="D19" s="162" t="n">
        <x:v>1</x:v>
      </x:c>
      <x:c r="E19" s="162" t="n">
        <x:v>1</x:v>
      </x:c>
      <x:c r="F19" s="162" t="n">
        <x:v>1</x:v>
      </x:c>
      <x:c r="G19" s="162" t="n">
        <x:v>1</x:v>
      </x:c>
      <x:c r="H19" s="162" t="n">
        <x:v>1</x:v>
      </x:c>
      <x:c r="I19" s="162" t="n">
        <x:v>1</x:v>
      </x:c>
      <x:c r="J19" s="108" t="str">
        <x:v>Proxy sementara: semua route terbuka.</x:v>
      </x:c>
    </x:row>
    <x:row r="20">
      <x:c r="A20" s="108" t="str">
        <x:v>20 UP Grade C</x:v>
      </x:c>
      <x:c r="B20" s="162" t="n">
        <x:v>0</x:v>
      </x:c>
      <x:c r="C20" s="162" t="n">
        <x:v>1</x:v>
      </x:c>
      <x:c r="D20" s="162" t="n">
        <x:v>1</x:v>
      </x:c>
      <x:c r="E20" s="162" t="n">
        <x:v>1</x:v>
      </x:c>
      <x:c r="F20" s="162" t="n">
        <x:v>1</x:v>
      </x:c>
      <x:c r="G20" s="162" t="n">
        <x:v>1</x:v>
      </x:c>
      <x:c r="H20" s="162" t="n">
        <x:v>1</x:v>
      </x:c>
      <x:c r="I20" s="162" t="n">
        <x:v>1</x:v>
      </x:c>
      <x:c r="J20" s="108" t="str">
        <x:v>Saku 16 oz diproksi membutuhkan loin besar; grade mapping belum tersedia.</x:v>
      </x:c>
    </x:row>
    <x:row r="21">
      <x:c r="A21" s="108" t="str">
        <x:v>14 UP Grade C</x:v>
      </x:c>
      <x:c r="B21" s="162" t="n">
        <x:v>0</x:v>
      </x:c>
      <x:c r="C21" s="162" t="n">
        <x:v>1</x:v>
      </x:c>
      <x:c r="D21" s="162" t="n">
        <x:v>1</x:v>
      </x:c>
      <x:c r="E21" s="162" t="n">
        <x:v>1</x:v>
      </x:c>
      <x:c r="F21" s="162" t="n">
        <x:v>1</x:v>
      </x:c>
      <x:c r="G21" s="162" t="n">
        <x:v>1</x:v>
      </x:c>
      <x:c r="H21" s="162" t="n">
        <x:v>1</x:v>
      </x:c>
      <x:c r="I21" s="162" t="n">
        <x:v>1</x:v>
      </x:c>
      <x:c r="J21" s="108" t="str">
        <x:v>Saku 16 oz diproksi membutuhkan loin besar; grade mapping belum tersedia.</x:v>
      </x:c>
    </x:row>
    <x:row r="22">
      <x:c r="A22" s="108" t="str">
        <x:v>WIP ST/SK</x:v>
      </x:c>
      <x:c r="B22" s="162" t="n">
        <x:v>1</x:v>
      </x:c>
      <x:c r="C22" s="162" t="n">
        <x:v>1</x:v>
      </x:c>
      <x:c r="D22" s="162" t="n">
        <x:v>1</x:v>
      </x:c>
      <x:c r="E22" s="162" t="n">
        <x:v>1</x:v>
      </x:c>
      <x:c r="F22" s="162" t="n">
        <x:v>1</x:v>
      </x:c>
      <x:c r="G22" s="162" t="n">
        <x:v>0</x:v>
      </x:c>
      <x:c r="H22" s="162" t="n">
        <x:v>0</x:v>
      </x:c>
      <x:c r="I22" s="162" t="n">
        <x:v>0</x:v>
      </x:c>
      <x:c r="J22" s="108" t="str">
        <x:v>Technical meeting: WIP ST/SK dapat menjadi Steak atau Saku.</x:v>
      </x:c>
    </x:row>
    <x:row r="24">
      <x:c r="A24" s="116" t="str">
        <x:v>D. BASELINE EXCESS / MTS YANG INGIN DIKURANGI</x:v>
      </x:c>
      <x:c r="B24" s="116"/>
      <x:c r="C24" s="116"/>
      <x:c r="D24" s="116"/>
      <x:c r="E24" s="116"/>
      <x:c r="F24" s="116"/>
      <x:c r="G24" s="116"/>
      <x:c r="H24" s="116"/>
      <x:c r="I24" s="116"/>
      <x:c r="J24" s="116"/>
      <x:c r="K24" s="116"/>
      <x:c r="L24" s="116"/>
    </x:row>
    <x:row r="25">
      <x:c r="A25" s="103" t="str">
        <x:v>Kategori current case</x:v>
      </x:c>
      <x:c r="B25" s="103" t="str">
        <x:v>Qty (kg)</x:v>
      </x:c>
      <x:c r="C25" s="103" t="str">
        <x:v>Makna</x:v>
      </x:c>
      <x:c r="D25" s="103" t="str">
        <x:v>Source</x:v>
      </x:c>
    </x:row>
    <x:row r="26">
      <x:c r="A26" s="108" t="str">
        <x:v>WIP ST/SK ending</x:v>
      </x:c>
      <x:c r="B26" s="108" t="n">
        <x:v>3108.4</x:v>
      </x:c>
      <x:c r="C26" s="108" t="str">
        <x:v>Belum menjadi revenue, masih tertahan sebagai WIP.</x:v>
      </x:c>
      <x:c r="D26" s="108" t="str">
        <x:v>Cost row 19</x:v>
      </x:c>
    </x:row>
    <x:row r="27">
      <x:c r="A27" s="108" t="str">
        <x:v>WIP GM/PK ending</x:v>
      </x:c>
      <x:c r="B27" s="108" t="n">
        <x:v>4869.9</x:v>
      </x:c>
      <x:c r="C27" s="108" t="str">
        <x:v>Belum menjadi revenue, masih tertahan sebagai WIP.</x:v>
      </x:c>
      <x:c r="D27" s="108" t="str">
        <x:v>Cost row 20</x:v>
      </x:c>
    </x:row>
    <x:row r="28">
      <x:c r="A28" s="108" t="str">
        <x:v>Excess FG</x:v>
      </x:c>
      <x:c r="B28" s="108" t="n">
        <x:v>1920.2</x:v>
      </x:c>
      <x:c r="C28" s="108" t="str">
        <x:v>Finished goods di luar kebutuhan shipment saat ini.</x:v>
      </x:c>
      <x:c r="D28" s="108" t="str">
        <x:v>Cost row 21</x:v>
      </x:c>
    </x:row>
    <x:row r="29">
      <x:c r="A29" s="144" t="str">
        <x:v>TOTAL WIP + EXCESS FG</x:v>
      </x:c>
      <x:c r="B29" s="144" t="n">
        <x:f>SUM(B26:B28)</x:f>
        <x:v>9898.5</x:v>
      </x:c>
      <x:c r="C29" s="144" t="str">
        <x:v>Baseline capital-lock proxy; bukan side product/loss.</x:v>
      </x:c>
      <x:c r="D29" s="144" t="str"/>
    </x:row>
  </x:sheetData>
  <x:mergeCells>
    <x:mergeCell ref="A1:L1"/>
    <x:mergeCell ref="A3:L3"/>
    <x:mergeCell ref="A11:L11"/>
    <x:mergeCell ref="A16:L16"/>
    <x:mergeCell ref="A24:L24"/>
  </x:mergeCells>
  <x:pageMargins left="0.7" right="0.7" top="0.75" bottom="0.75" header="0.3" footer="0.3"/>
</x:worksheet>
</file>

<file path=xl/worksheets/sheet18.xml><?xml version="1.0" encoding="utf-8"?>
<x:worksheet xmlns:x="http://schemas.openxmlformats.org/spreadsheetml/2006/main">
  <x:sheetFormatPr defaultRowHeight="15"/>
  <x:cols>
    <x:col min="1" max="1" width="2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7" hidden="0" customWidth="1"/>
    <x:col min="11" max="11" width="16" hidden="0" customWidth="1"/>
    <x:col min="12" max="12" width="16" hidden="0" customWidth="1"/>
    <x:col min="13" max="13" width="18" hidden="0" customWidth="1"/>
  </x:cols>
  <x:sheetData>
    <x:row r="1" ht="26" customHeight="1">
      <x:c r="A1" s="95" t="str">
        <x:v>FINAL — LP OPTIMIZER: RESOURCE → SKU (PREFILLED = PROFIT-MAX CURRENT INPUTS)</x:v>
      </x:c>
      <x:c r="B1" s="95"/>
      <x:c r="C1" s="95"/>
      <x:c r="D1" s="95"/>
      <x:c r="E1" s="95"/>
      <x:c r="F1" s="95"/>
      <x:c r="G1" s="95"/>
      <x:c r="H1" s="95"/>
      <x:c r="I1" s="95"/>
      <x:c r="J1" s="95"/>
      <x:c r="K1" s="95"/>
      <x:c r="L1" s="95"/>
      <x:c r="M1" s="95"/>
    </x:row>
    <x:row r="2">
      <x:c r="A2" s="172" t="str">
        <x:v>Decision variable x(i,j) = kg LOIN dari resource i ke SKU j. Tidak ada alpha 70% global. PO = ceiling; minimum per SKU hanya bila ada contractual commitment.</x:v>
      </x:c>
      <x:c r="B2" s="172"/>
      <x:c r="C2" s="172"/>
      <x:c r="D2" s="172"/>
      <x:c r="E2" s="172"/>
      <x:c r="F2" s="172"/>
      <x:c r="G2" s="172"/>
      <x:c r="H2" s="172"/>
      <x:c r="I2" s="172"/>
      <x:c r="J2" s="172"/>
      <x:c r="K2" s="172"/>
      <x:c r="L2" s="172"/>
      <x:c r="M2" s="172"/>
    </x:row>
    <x:row r="4">
      <x:c r="A4" s="103" t="str">
        <x:v>Resource \ SKU</x:v>
      </x:c>
      <x:c r="B4" s="103" t="str">
        <x:v>Saku 16 OZ</x:v>
      </x:c>
      <x:c r="C4" s="103" t="str">
        <x:v>Steak 4 OZ</x:v>
      </x:c>
      <x:c r="D4" s="103" t="str">
        <x:v>Steak 6 OZ</x:v>
      </x:c>
      <x:c r="E4" s="103" t="str">
        <x:v>Steak 8 OZ</x:v>
      </x:c>
      <x:c r="F4" s="103" t="str">
        <x:v>Steak 10 OZ</x:v>
      </x:c>
      <x:c r="G4" s="103" t="str">
        <x:v>Poke 1.5 CM</x:v>
      </x:c>
      <x:c r="H4" s="103" t="str">
        <x:v>Medallion 2-3 OZ</x:v>
      </x:c>
      <x:c r="I4" s="103" t="str">
        <x:v>Ground Meat</x:v>
      </x:c>
      <x:c r="J4" s="103" t="str">
        <x:v>Total Loin Allocated</x:v>
      </x:c>
      <x:c r="K4" s="103" t="str">
        <x:v>Loin Available</x:v>
      </x:c>
      <x:c r="L4" s="103" t="str">
        <x:v>Ending Residual</x:v>
      </x:c>
      <x:c r="M4" s="103" t="str">
        <x:v>Status</x:v>
      </x:c>
    </x:row>
    <x:row r="5">
      <x:c r="A5" s="108" t="str">
        <x:v>30 UP Grade B</x:v>
      </x:c>
      <x:c r="B5" s="146" t="n">
        <x:v>0</x:v>
      </x:c>
      <x:c r="C5" s="146" t="n">
        <x:v>0</x:v>
      </x:c>
      <x:c r="D5" s="146" t="n">
        <x:v>0</x:v>
      </x:c>
      <x:c r="E5" s="146" t="n">
        <x:v>0</x:v>
      </x:c>
      <x:c r="F5" s="146" t="n">
        <x:v>0</x:v>
      </x:c>
      <x:c r="G5" s="146" t="n">
        <x:v>3121.956565283438</x:v>
      </x:c>
      <x:c r="H5" s="146" t="n">
        <x:v>0</x:v>
      </x:c>
      <x:c r="I5" s="146" t="n">
        <x:v>0</x:v>
      </x:c>
      <x:c r="J5" s="182" t="n">
        <x:f>SUM(B5:I5)</x:f>
        <x:v>3121.956565283438</x:v>
      </x:c>
      <x:c r="K5" s="160" t="n">
        <x:f>FINAL_03_Resource!E5</x:f>
        <x:v>3121.956565283439</x:v>
      </x:c>
      <x:c r="L5" s="182" t="n">
        <x:f>K5-J5</x:f>
        <x:v>9.094947017729282e-13</x:v>
      </x:c>
      <x:c r="M5" s="182" t="str">
        <x:f>IF(L5&lt;-0.01,"OVER",IF(L5&lt;0.01,"FULLY USED","RESIDUAL"))</x:f>
        <x:v>FULLY USED</x:v>
      </x:c>
    </x:row>
    <x:row r="6">
      <x:c r="A6" s="108" t="str">
        <x:v>30 UP Grade C</x:v>
      </x:c>
      <x:c r="B6" s="146" t="n">
        <x:v>9825.626464930203</x:v>
      </x:c>
      <x:c r="C6" s="146" t="n">
        <x:v>0</x:v>
      </x:c>
      <x:c r="D6" s="146" t="n">
        <x:v>480.90243480938835</x:v>
      </x:c>
      <x:c r="E6" s="146" t="n">
        <x:v>0</x:v>
      </x:c>
      <x:c r="F6" s="146" t="n">
        <x:v>5906.207784532252</x:v>
      </x:c>
      <x:c r="G6" s="146" t="n">
        <x:v>717.7366302616246</x:v>
      </x:c>
      <x:c r="H6" s="146" t="n">
        <x:v>0</x:v>
      </x:c>
      <x:c r="I6" s="146" t="n">
        <x:v>0</x:v>
      </x:c>
      <x:c r="J6" s="182" t="n">
        <x:f>SUM(B6:I6)</x:f>
        <x:v>16930.47331453347</x:v>
      </x:c>
      <x:c r="K6" s="160" t="n">
        <x:f>FINAL_03_Resource!E6</x:f>
        <x:v>22078.124871684257</x:v>
      </x:c>
      <x:c r="L6" s="182" t="n">
        <x:f>K6-J6</x:f>
        <x:v>5147.651557150788</x:v>
      </x:c>
      <x:c r="M6" s="182" t="str">
        <x:f>IF(L6&lt;-0.01,"OVER",IF(L6&lt;0.01,"FULLY USED","RESIDUAL"))</x:f>
        <x:v>RESIDUAL</x:v>
      </x:c>
    </x:row>
    <x:row r="7">
      <x:c r="A7" s="108" t="str">
        <x:v>20 UP Grade C</x:v>
      </x:c>
      <x:c r="B7" s="146" t="n">
        <x:v>0</x:v>
      </x:c>
      <x:c r="C7" s="146" t="n">
        <x:v>0</x:v>
      </x:c>
      <x:c r="D7" s="146" t="n">
        <x:v>3383.6974831719886</x:v>
      </x:c>
      <x:c r="E7" s="146" t="n">
        <x:v>0</x:v>
      </x:c>
      <x:c r="F7" s="146" t="n">
        <x:v>0</x:v>
      </x:c>
      <x:c r="G7" s="146" t="n">
        <x:v>0</x:v>
      </x:c>
      <x:c r="H7" s="146" t="n">
        <x:v>0</x:v>
      </x:c>
      <x:c r="I7" s="146" t="n">
        <x:v>0</x:v>
      </x:c>
      <x:c r="J7" s="182" t="n">
        <x:f>SUM(B7:I7)</x:f>
        <x:v>3383.6974831719886</x:v>
      </x:c>
      <x:c r="K7" s="160" t="n">
        <x:f>FINAL_03_Resource!E7</x:f>
        <x:v>3383.69748317199</x:v>
      </x:c>
      <x:c r="L7" s="182" t="n">
        <x:f>K7-J7</x:f>
        <x:v>1.3642420526593924e-12</x:v>
      </x:c>
      <x:c r="M7" s="182" t="str">
        <x:f>IF(L7&lt;-0.01,"OVER",IF(L7&lt;0.01,"FULLY USED","RESIDUAL"))</x:f>
        <x:v>FULLY USED</x:v>
      </x:c>
    </x:row>
    <x:row r="8">
      <x:c r="A8" s="108" t="str">
        <x:v>14 UP Grade C</x:v>
      </x:c>
      <x:c r="B8" s="146" t="n">
        <x:v>0</x:v>
      </x:c>
      <x:c r="C8" s="146" t="n">
        <x:v>0</x:v>
      </x:c>
      <x:c r="D8" s="146" t="n">
        <x:v>0</x:v>
      </x:c>
      <x:c r="E8" s="146" t="n">
        <x:v>0</x:v>
      </x:c>
      <x:c r="F8" s="146" t="n">
        <x:v>0</x:v>
      </x:c>
      <x:c r="G8" s="146" t="n">
        <x:v>1030.2568044549341</x:v>
      </x:c>
      <x:c r="H8" s="146" t="n">
        <x:v>0</x:v>
      </x:c>
      <x:c r="I8" s="146" t="n">
        <x:v>0</x:v>
      </x:c>
      <x:c r="J8" s="182" t="n">
        <x:f>SUM(B8:I8)</x:f>
        <x:v>1030.2568044549341</x:v>
      </x:c>
      <x:c r="K8" s="160" t="n">
        <x:f>FINAL_03_Resource!E8</x:f>
        <x:v>1030.2568044549344</x:v>
      </x:c>
      <x:c r="L8" s="182" t="n">
        <x:f>K8-J8</x:f>
        <x:v>2.2737367544323206e-13</x:v>
      </x:c>
      <x:c r="M8" s="182" t="str">
        <x:f>IF(L8&lt;-0.01,"OVER",IF(L8&lt;0.01,"FULLY USED","RESIDUAL"))</x:f>
        <x:v>FULLY USED</x:v>
      </x:c>
    </x:row>
    <x:row r="9">
      <x:c r="A9" s="108" t="str">
        <x:v>WIP ST/SK carry-in</x:v>
      </x:c>
      <x:c r="B9" s="146" t="n">
        <x:v>161.10685488733304</x:v>
      </x:c>
      <x:c r="C9" s="146" t="n">
        <x:v>146.4584614874426</x:v>
      </x:c>
      <x:c r="D9" s="146" t="n">
        <x:v>0</x:v>
      </x:c>
      <x:c r="E9" s="146" t="n">
        <x:v>8335.434683625223</x:v>
      </x:c>
      <x:c r="F9" s="146" t="n">
        <x:v>0</x:v>
      </x:c>
      <x:c r="G9" s="146" t="n">
        <x:v>0</x:v>
      </x:c>
      <x:c r="H9" s="146" t="n">
        <x:v>0</x:v>
      </x:c>
      <x:c r="I9" s="146" t="n">
        <x:v>0</x:v>
      </x:c>
      <x:c r="J9" s="182" t="n">
        <x:f>SUM(B9:I9)</x:f>
        <x:v>8642.999999999998</x:v>
      </x:c>
      <x:c r="K9" s="160" t="n">
        <x:f>FINAL_03_Resource!B13</x:f>
        <x:v>8643</x:v>
      </x:c>
      <x:c r="L9" s="182" t="n">
        <x:f>K9-J9</x:f>
        <x:v>1.8189894035458565e-12</x:v>
      </x:c>
      <x:c r="M9" s="182" t="str">
        <x:f>IF(L9&lt;-0.01,"OVER",IF(L9&lt;0.01,"FULLY USED","RESIDUAL"))</x:f>
        <x:v>FULLY USED</x:v>
      </x:c>
    </x:row>
    <x:row r="10">
      <x:c r="A10" s="108"/>
      <x:c r="B10" s="108"/>
      <x:c r="C10" s="108"/>
      <x:c r="D10" s="108"/>
      <x:c r="E10" s="108"/>
      <x:c r="F10" s="108"/>
      <x:c r="G10" s="108"/>
      <x:c r="H10" s="108"/>
      <x:c r="I10" s="108"/>
      <x:c r="J10" s="108"/>
      <x:c r="K10" s="108"/>
      <x:c r="L10" s="108"/>
      <x:c r="M10" s="108"/>
    </x:row>
    <x:row r="11">
      <x:c r="A11" s="183" t="str">
        <x:v>RINGKASAN PER SKU</x:v>
      </x:c>
      <x:c r="B11" s="183"/>
      <x:c r="C11" s="183"/>
      <x:c r="D11" s="183"/>
      <x:c r="E11" s="183"/>
      <x:c r="F11" s="183"/>
      <x:c r="G11" s="183"/>
      <x:c r="H11" s="183"/>
      <x:c r="I11" s="183"/>
      <x:c r="J11" s="183"/>
      <x:c r="K11" s="183"/>
      <x:c r="L11" s="183"/>
      <x:c r="M11" s="183"/>
    </x:row>
    <x:row r="12">
      <x:c r="A12" s="103" t="str">
        <x:v>Metric</x:v>
      </x:c>
      <x:c r="B12" s="103" t="str">
        <x:v>Saku 16 OZ</x:v>
      </x:c>
      <x:c r="C12" s="103" t="str">
        <x:v>Steak 4 OZ</x:v>
      </x:c>
      <x:c r="D12" s="103" t="str">
        <x:v>Steak 6 OZ</x:v>
      </x:c>
      <x:c r="E12" s="103" t="str">
        <x:v>Steak 8 OZ</x:v>
      </x:c>
      <x:c r="F12" s="103" t="str">
        <x:v>Steak 10 OZ</x:v>
      </x:c>
      <x:c r="G12" s="103" t="str">
        <x:v>Poke 1.5 CM</x:v>
      </x:c>
      <x:c r="H12" s="103" t="str">
        <x:v>Medallion 2-3 OZ</x:v>
      </x:c>
      <x:c r="I12" s="103" t="str">
        <x:v>Ground Meat</x:v>
      </x:c>
      <x:c r="J12" s="103" t="str">
        <x:v>TOTAL</x:v>
      </x:c>
      <x:c r="K12" s="108" t="str"/>
      <x:c r="L12" s="108" t="str"/>
      <x:c r="M12" s="108" t="str"/>
    </x:row>
    <x:row r="13">
      <x:c r="A13" s="108" t="str">
        <x:v>Loin allocated (kg)</x:v>
      </x:c>
      <x:c r="B13" s="184" t="n">
        <x:f>SUM(B5:B9)</x:f>
        <x:v>9986.733319817537</x:v>
      </x:c>
      <x:c r="C13" s="184" t="n">
        <x:f>SUM(C5:C9)</x:f>
        <x:v>146.4584614874426</x:v>
      </x:c>
      <x:c r="D13" s="184" t="n">
        <x:f>SUM(D5:D9)</x:f>
        <x:v>3864.599917981377</x:v>
      </x:c>
      <x:c r="E13" s="184" t="n">
        <x:f>SUM(E5:E9)</x:f>
        <x:v>8335.434683625223</x:v>
      </x:c>
      <x:c r="F13" s="184" t="n">
        <x:f>SUM(F5:F9)</x:f>
        <x:v>5906.207784532252</x:v>
      </x:c>
      <x:c r="G13" s="184" t="n">
        <x:f>SUM(G5:G9)</x:f>
        <x:v>4869.949999999997</x:v>
      </x:c>
      <x:c r="H13" s="184" t="n">
        <x:f>SUM(H5:H9)</x:f>
        <x:v>0</x:v>
      </x:c>
      <x:c r="I13" s="184" t="n">
        <x:f>SUM(I5:I9)</x:f>
        <x:v>0</x:v>
      </x:c>
      <x:c r="J13" s="184" t="n">
        <x:f>SUM(B13:I13)</x:f>
        <x:v>33109.38416744383</x:v>
      </x:c>
      <x:c r="K13" s="108"/>
      <x:c r="L13" s="108"/>
      <x:c r="M13" s="108"/>
    </x:row>
    <x:row r="14">
      <x:c r="A14" s="108" t="str">
        <x:v>rho Loin→FG</x:v>
      </x:c>
      <x:c r="B14" s="184" t="n">
        <x:f>FINAL_02_Ekonomi!H4</x:f>
        <x:v>0.524176408076514</x:v>
      </x:c>
      <x:c r="C14" s="184" t="n">
        <x:f>FINAL_02_Ekonomi!H5</x:f>
        <x:v>0.42448896</x:v>
      </x:c>
      <x:c r="D14" s="184" t="n">
        <x:f>FINAL_02_Ekonomi!H6</x:f>
        <x:v>0.42448896</x:v>
      </x:c>
      <x:c r="E14" s="184" t="n">
        <x:f>FINAL_02_Ekonomi!H7</x:f>
        <x:v>0.42448896</x:v>
      </x:c>
      <x:c r="F14" s="184" t="n">
        <x:f>FINAL_02_Ekonomi!H8</x:f>
        <x:v>0.42448896</x:v>
      </x:c>
      <x:c r="G14" s="184" t="n">
        <x:f>FINAL_02_Ekonomi!H9</x:f>
        <x:v>0.466123882175382</x:v>
      </x:c>
      <x:c r="H14" s="184" t="n">
        <x:f>FINAL_02_Ekonomi!H10</x:f>
        <x:v>0.45</x:v>
      </x:c>
      <x:c r="I14" s="184" t="n">
        <x:f>FINAL_02_Ekonomi!H11</x:f>
        <x:v>0.55</x:v>
      </x:c>
      <x:c r="J14" s="184" t="str">
        <x:v>-</x:v>
      </x:c>
      <x:c r="K14" s="108"/>
      <x:c r="L14" s="108"/>
      <x:c r="M14" s="108"/>
    </x:row>
    <x:row r="15">
      <x:c r="A15" s="108" t="str">
        <x:v>New Production FG (kg)</x:v>
      </x:c>
      <x:c r="B15" s="184" t="n">
        <x:f>B13*B14</x:f>
        <x:v>5234.809999999997</x:v>
      </x:c>
      <x:c r="C15" s="184" t="n">
        <x:f>C13*C14</x:f>
        <x:v>62.17000000000457</x:v>
      </x:c>
      <x:c r="D15" s="184" t="n">
        <x:f>D13*D14</x:f>
        <x:v>1640.4800000000002</x:v>
      </x:c>
      <x:c r="E15" s="184" t="n">
        <x:f>E13*E14</x:f>
        <x:v>3538.3</x:v>
      </x:c>
      <x:c r="F15" s="184" t="n">
        <x:f>F13*F14</x:f>
        <x:v>2507.12</x:v>
      </x:c>
      <x:c r="G15" s="184" t="n">
        <x:f>G13*G14</x:f>
        <x:v>2270</x:v>
      </x:c>
      <x:c r="H15" s="184" t="n">
        <x:f>H13*H14</x:f>
        <x:v>0</x:v>
      </x:c>
      <x:c r="I15" s="184" t="n">
        <x:f>I13*I14</x:f>
        <x:v>0</x:v>
      </x:c>
      <x:c r="J15" s="184" t="n">
        <x:f>SUM(B15:I15)</x:f>
        <x:v>15252.880000000001</x:v>
      </x:c>
      <x:c r="K15" s="108"/>
      <x:c r="L15" s="108"/>
      <x:c r="M15" s="108"/>
    </x:row>
    <x:row r="16">
      <x:c r="A16" s="108" t="str">
        <x:v>Existing FG stock used</x:v>
      </x:c>
      <x:c r="B16" s="184" t="n">
        <x:f>FINAL_02_Ekonomi!D4</x:f>
        <x:v>181.41</x:v>
      </x:c>
      <x:c r="C16" s="184" t="n">
        <x:f>FINAL_02_Ekonomi!D5</x:f>
        <x:v>2121.67</x:v>
      </x:c>
      <x:c r="D16" s="184" t="n">
        <x:f>FINAL_02_Ekonomi!D6</x:f>
        <x:v>1083.52</x:v>
      </x:c>
      <x:c r="E16" s="184" t="n">
        <x:f>FINAL_02_Ekonomi!D7</x:f>
        <x:v>325.24</x:v>
      </x:c>
      <x:c r="F16" s="184" t="n">
        <x:f>FINAL_02_Ekonomi!D8</x:f>
        <x:v>35.28</x:v>
      </x:c>
      <x:c r="G16" s="184" t="n">
        <x:f>FINAL_02_Ekonomi!D9</x:f>
        <x:v>0</x:v>
      </x:c>
      <x:c r="H16" s="184" t="n">
        <x:f>FINAL_02_Ekonomi!D10</x:f>
        <x:v>0</x:v>
      </x:c>
      <x:c r="I16" s="184" t="n">
        <x:f>FINAL_02_Ekonomi!D11</x:f>
        <x:v>0</x:v>
      </x:c>
      <x:c r="J16" s="184" t="n">
        <x:f>SUM(B16:I16)</x:f>
        <x:v>3747.1200000000003</x:v>
      </x:c>
      <x:c r="K16" s="108"/>
      <x:c r="L16" s="108"/>
      <x:c r="M16" s="108"/>
    </x:row>
    <x:row r="17">
      <x:c r="A17" s="108" t="str">
        <x:v>Shipment FG (kg)</x:v>
      </x:c>
      <x:c r="B17" s="184" t="n">
        <x:f>B15+B16</x:f>
        <x:v>5416.219999999997</x:v>
      </x:c>
      <x:c r="C17" s="184" t="n">
        <x:f>C15+C16</x:f>
        <x:v>2183.8400000000047</x:v>
      </x:c>
      <x:c r="D17" s="184" t="n">
        <x:f>D15+D16</x:f>
        <x:v>2724</x:v>
      </x:c>
      <x:c r="E17" s="184" t="n">
        <x:f>E15+E16</x:f>
        <x:v>3863.54</x:v>
      </x:c>
      <x:c r="F17" s="184" t="n">
        <x:f>F15+F16</x:f>
        <x:v>2542.4</x:v>
      </x:c>
      <x:c r="G17" s="184" t="n">
        <x:f>G15+G16</x:f>
        <x:v>2270</x:v>
      </x:c>
      <x:c r="H17" s="184" t="n">
        <x:f>H15+H16</x:f>
        <x:v>0</x:v>
      </x:c>
      <x:c r="I17" s="184" t="n">
        <x:f>I15+I16</x:f>
        <x:v>0</x:v>
      </x:c>
      <x:c r="J17" s="184" t="n">
        <x:f>SUM(B17:I17)</x:f>
        <x:v>19000.000000000004</x:v>
      </x:c>
      <x:c r="K17" s="108"/>
      <x:c r="L17" s="108"/>
      <x:c r="M17" s="108"/>
    </x:row>
    <x:row r="18">
      <x:c r="A18" s="108" t="str">
        <x:v>PO ceiling (kg)</x:v>
      </x:c>
      <x:c r="B18" s="184" t="n">
        <x:f>FINAL_02_Ekonomi!B4</x:f>
        <x:v>5416.22</x:v>
      </x:c>
      <x:c r="C18" s="184" t="n">
        <x:f>FINAL_02_Ekonomi!B5</x:f>
        <x:v>2270</x:v>
      </x:c>
      <x:c r="D18" s="184" t="n">
        <x:f>FINAL_02_Ekonomi!B6</x:f>
        <x:v>2724</x:v>
      </x:c>
      <x:c r="E18" s="184" t="n">
        <x:f>FINAL_02_Ekonomi!B7</x:f>
        <x:v>3863.54</x:v>
      </x:c>
      <x:c r="F18" s="184" t="n">
        <x:f>FINAL_02_Ekonomi!B8</x:f>
        <x:v>2542.4</x:v>
      </x:c>
      <x:c r="G18" s="184" t="n">
        <x:f>FINAL_02_Ekonomi!B9</x:f>
        <x:v>2270</x:v>
      </x:c>
      <x:c r="H18" s="184" t="n">
        <x:f>FINAL_02_Ekonomi!B10</x:f>
        <x:v>889.84</x:v>
      </x:c>
      <x:c r="I18" s="184" t="n">
        <x:f>FINAL_02_Ekonomi!B11</x:f>
        <x:v>0</x:v>
      </x:c>
      <x:c r="J18" s="184" t="n">
        <x:f>SUM(B18:I18)</x:f>
        <x:v>19976.000000000004</x:v>
      </x:c>
      <x:c r="K18" s="108"/>
      <x:c r="L18" s="108"/>
      <x:c r="M18" s="108"/>
    </x:row>
    <x:row r="19">
      <x:c r="A19" s="108" t="str">
        <x:v>Contractual minimum (kg)</x:v>
      </x:c>
      <x:c r="B19" s="146" t="n">
        <x:v>0</x:v>
      </x:c>
      <x:c r="C19" s="146" t="n">
        <x:v>0</x:v>
      </x:c>
      <x:c r="D19" s="146" t="n">
        <x:v>0</x:v>
      </x:c>
      <x:c r="E19" s="146" t="n">
        <x:v>0</x:v>
      </x:c>
      <x:c r="F19" s="146" t="n">
        <x:v>0</x:v>
      </x:c>
      <x:c r="G19" s="146" t="n">
        <x:v>0</x:v>
      </x:c>
      <x:c r="H19" s="146" t="n">
        <x:v>0</x:v>
      </x:c>
      <x:c r="I19" s="146" t="n">
        <x:v>0</x:v>
      </x:c>
      <x:c r="J19" s="184" t="n">
        <x:f>SUM(B19:I19)</x:f>
        <x:v>0</x:v>
      </x:c>
      <x:c r="K19" s="108"/>
      <x:c r="L19" s="108"/>
      <x:c r="M19" s="108"/>
    </x:row>
    <x:row r="20">
      <x:c r="A20" s="108" t="str">
        <x:v>Contribution / kg Loin (Rp)</x:v>
      </x:c>
      <x:c r="B20" s="184" t="n">
        <x:f>FINAL_02_Ekonomi!K4</x:f>
        <x:v>107756.42362626882</x:v>
      </x:c>
      <x:c r="C20" s="184" t="n">
        <x:f>FINAL_02_Ekonomi!K5</x:f>
        <x:v>33280.984378857436</x:v>
      </x:c>
      <x:c r="D20" s="184" t="n">
        <x:f>FINAL_02_Ekonomi!K6</x:f>
        <x:v>40221.57984637455</x:v>
      </x:c>
      <x:c r="E20" s="184" t="n">
        <x:f>FINAL_02_Ekonomi!K7</x:f>
        <x:v>41763.934394711694</x:v>
      </x:c>
      <x:c r="F20" s="184" t="n">
        <x:f>FINAL_02_Ekonomi!K8</x:f>
        <x:v>41763.934394711694</x:v>
      </x:c>
      <x:c r="G20" s="184" t="n">
        <x:f>FINAL_02_Ekonomi!K9</x:f>
        <x:v>40779.346453899954</x:v>
      </x:c>
      <x:c r="H20" s="184" t="n">
        <x:f>FINAL_02_Ekonomi!K10</x:f>
        <x:v>23018.257930307554</x:v>
      </x:c>
      <x:c r="I20" s="184" t="n">
        <x:f>FINAL_02_Ekonomi!K11</x:f>
        <x:v>18141.470366046186</x:v>
      </x:c>
      <x:c r="J20" s="184" t="str">
        <x:v>-</x:v>
      </x:c>
      <x:c r="K20" s="108"/>
      <x:c r="L20" s="108"/>
      <x:c r="M20" s="108"/>
    </x:row>
    <x:row r="21">
      <x:c r="A21" s="108" t="str">
        <x:v>Routing Contribution (Rp)</x:v>
      </x:c>
      <x:c r="B21" s="184" t="n">
        <x:f>B13*B20</x:f>
        <x:v>1076134666.2528324</x:v>
      </x:c>
      <x:c r="C21" s="184" t="n">
        <x:f>C13*C20</x:f>
        <x:v>4874281.768915071</x:v>
      </x:c>
      <x:c r="D21" s="184" t="n">
        <x:f>D13*D20</x:f>
        <x:v>155440314.1753805</x:v>
      </x:c>
      <x:c r="E21" s="184" t="n">
        <x:f>E13*E20</x:f>
        <x:v>348120547.27832824</x:v>
      </x:c>
      <x:c r="F21" s="184" t="n">
        <x:f>F13*F20</x:f>
        <x:v>246666474.43474048</x:v>
      </x:c>
      <x:c r="G21" s="184" t="n">
        <x:f>G13*G20</x:f>
        <x:v>198593378.26316997</x:v>
      </x:c>
      <x:c r="H21" s="184" t="n">
        <x:f>H13*H20</x:f>
        <x:v>0</x:v>
      </x:c>
      <x:c r="I21" s="184" t="n">
        <x:f>I13*I20</x:f>
        <x:v>0</x:v>
      </x:c>
      <x:c r="J21" s="184" t="n">
        <x:f>SUM(B21:I21)</x:f>
        <x:v>2029829662.1733668</x:v>
      </x:c>
      <x:c r="K21" s="108"/>
      <x:c r="L21" s="108"/>
      <x:c r="M21" s="108"/>
    </x:row>
    <x:row r="22">
      <x:c r="A22" s="108" t="str">
        <x:v>Energy New Production (kWh)</x:v>
      </x:c>
      <x:c r="B22" s="184" t="n">
        <x:f>B15*FINAL_02_Ekonomi!L4</x:f>
        <x:v>3330.056465090897</x:v>
      </x:c>
      <x:c r="C22" s="184" t="n">
        <x:f>C15*FINAL_02_Ekonomi!L5</x:f>
        <x:v>26.323412285975607</x:v>
      </x:c>
      <x:c r="D22" s="184" t="n">
        <x:f>D15*FINAL_02_Ekonomi!L6</x:f>
        <x:v>680.2650122964989</x:v>
      </x:c>
      <x:c r="E22" s="184" t="n">
        <x:f>E15*FINAL_02_Ekonomi!L7</x:f>
        <x:v>1448.3998925317117</x:v>
      </x:c>
      <x:c r="F22" s="184" t="n">
        <x:f>F15*FINAL_02_Ekonomi!L8</x:f>
        <x:v>1018.2484210693561</x:v>
      </x:c>
      <x:c r="G22" s="184" t="n">
        <x:f>G15*FINAL_02_Ekonomi!L9</x:f>
        <x:v>696.528157863153</x:v>
      </x:c>
      <x:c r="H22" s="184" t="n">
        <x:f>H15*FINAL_02_Ekonomi!L10</x:f>
        <x:v>0</x:v>
      </x:c>
      <x:c r="I22" s="184" t="n">
        <x:f>I15*FINAL_02_Ekonomi!L11</x:f>
        <x:v>0</x:v>
      </x:c>
      <x:c r="J22" s="184" t="n">
        <x:f>SUM(B22:I22)</x:f>
        <x:v>7199.821361137592</x:v>
      </x:c>
      <x:c r="K22" s="108"/>
      <x:c r="L22" s="108"/>
      <x:c r="M22" s="108"/>
    </x:row>
    <x:row r="23">
      <x:c r="A23" s="108"/>
      <x:c r="B23" s="108"/>
      <x:c r="C23" s="108"/>
      <x:c r="D23" s="108"/>
      <x:c r="E23" s="108"/>
      <x:c r="F23" s="108"/>
      <x:c r="G23" s="108"/>
      <x:c r="H23" s="108"/>
      <x:c r="I23" s="108"/>
      <x:c r="J23" s="108"/>
      <x:c r="K23" s="108"/>
      <x:c r="L23" s="108"/>
      <x:c r="M23" s="108"/>
    </x:row>
    <x:row r="24">
      <x:c r="A24" s="183" t="str">
        <x:v>FUNCTIONAL CONSTRAINTS</x:v>
      </x:c>
      <x:c r="B24" s="183"/>
      <x:c r="C24" s="183"/>
      <x:c r="D24" s="183"/>
      <x:c r="E24" s="183"/>
      <x:c r="F24" s="183"/>
      <x:c r="G24" s="183"/>
      <x:c r="H24" s="183"/>
      <x:c r="I24" s="183"/>
      <x:c r="J24" s="183"/>
      <x:c r="K24" s="183"/>
      <x:c r="L24" s="183"/>
      <x:c r="M24" s="183"/>
    </x:row>
    <x:row r="25">
      <x:c r="A25" s="103" t="str">
        <x:v>Constraint</x:v>
      </x:c>
      <x:c r="B25" s="180" t="str">
        <x:v>Actual</x:v>
      </x:c>
      <x:c r="C25" s="180" t="str">
        <x:v>Operator</x:v>
      </x:c>
      <x:c r="D25" s="180" t="str">
        <x:v>Limit</x:v>
      </x:c>
      <x:c r="E25" s="180" t="str">
        <x:v>Status</x:v>
      </x:c>
      <x:c r="F25" s="180" t="str">
        <x:v>Source / Logic</x:v>
      </x:c>
      <x:c r="G25" s="108"/>
      <x:c r="H25" s="154" t="str">
        <x:v>QUALITY CONSTRAINT: setiap decision cell dengan eligibility = 0 pada FINAL_03_Resource!B18:I22 harus dikunci = 0 di Solver. Mapping grade B/C ke AAA/AA belum tersedia di case; jangan mengklaim grade eligibility lebih detail sebelum divalidasi.</x:v>
      </x:c>
      <x:c r="I25" s="154"/>
      <x:c r="J25" s="154"/>
      <x:c r="K25" s="154"/>
      <x:c r="L25" s="154"/>
      <x:c r="M25" s="154"/>
    </x:row>
    <x:row r="26">
      <x:c r="A26" s="108" t="str">
        <x:v>Shipment FG</x:v>
      </x:c>
      <x:c r="B26" s="184" t="n">
        <x:f>J17</x:f>
        <x:v>19000.000000000004</x:v>
      </x:c>
      <x:c r="C26" s="184" t="str">
        <x:v>&lt;=</x:v>
      </x:c>
      <x:c r="D26" s="184" t="n">
        <x:f>FINAL_01_Kendali!B7</x:f>
        <x:v>19000</x:v>
      </x:c>
      <x:c r="E26" s="184" t="str">
        <x:f>IF(B26&lt;=D26+0.01,"OK","VIOLATION")</x:f>
        <x:v>OK</x:v>
      </x:c>
      <x:c r="F26" s="184" t="str">
        <x:v>Container cap; includes existing FG stock used.</x:v>
      </x:c>
      <x:c r="G26" s="108"/>
      <x:c r="H26" s="154"/>
      <x:c r="I26" s="154"/>
      <x:c r="J26" s="154"/>
      <x:c r="K26" s="154"/>
      <x:c r="L26" s="154"/>
      <x:c r="M26" s="154"/>
    </x:row>
    <x:row r="27">
      <x:c r="A27" s="108" t="str">
        <x:v>Minimum shipment fill</x:v>
      </x:c>
      <x:c r="B27" s="184" t="n">
        <x:f>J17</x:f>
        <x:v>19000.000000000004</x:v>
      </x:c>
      <x:c r="C27" s="184" t="str">
        <x:v>&gt;=</x:v>
      </x:c>
      <x:c r="D27" s="184" t="n">
        <x:f>FINAL_01_Kendali!B8</x:f>
        <x:v>0</x:v>
      </x:c>
      <x:c r="E27" s="184" t="str">
        <x:f>IF(B27+0.01&gt;=D27,"OK","VIOLATION")</x:f>
        <x:v>OK</x:v>
      </x:c>
      <x:c r="F27" s="184" t="str">
        <x:v>Optional scenario; default 0.</x:v>
      </x:c>
      <x:c r="G27" s="108"/>
      <x:c r="H27" s="154"/>
      <x:c r="I27" s="154"/>
      <x:c r="J27" s="154"/>
      <x:c r="K27" s="154"/>
      <x:c r="L27" s="154"/>
      <x:c r="M27" s="154"/>
    </x:row>
    <x:row r="28">
      <x:c r="A28" s="108" t="str">
        <x:v>Fresh whole processed</x:v>
      </x:c>
      <x:c r="B28" s="184" t="n">
        <x:f>FINAL_01_Kendali!B4</x:f>
        <x:v>50136</x:v>
      </x:c>
      <x:c r="C28" s="184" t="str">
        <x:v>&lt;=</x:v>
      </x:c>
      <x:c r="D28" s="184" t="n">
        <x:f>FINAL_01_Kendali!B9*FINAL_01_Kendali!B10</x:f>
        <x:v>135000</x:v>
      </x:c>
      <x:c r="E28" s="184" t="str">
        <x:f>IF(B28&lt;=D28+0.01,"OK","VIOLATION")</x:f>
        <x:v>OK</x:v>
      </x:c>
      <x:c r="F28" s="184" t="str">
        <x:v>Semua WGG yang dikonversi menjadi available loin dihitung sebagai processed.</x:v>
      </x:c>
      <x:c r="G28" s="108"/>
      <x:c r="H28" s="154"/>
      <x:c r="I28" s="154"/>
      <x:c r="J28" s="154"/>
      <x:c r="K28" s="154"/>
      <x:c r="L28" s="154"/>
      <x:c r="M28" s="154"/>
    </x:row>
    <x:row r="29">
      <x:c r="A29" s="108" t="str">
        <x:v>Monthly shipment prorated</x:v>
      </x:c>
      <x:c r="B29" s="184" t="n">
        <x:f>J17</x:f>
        <x:v>19000.000000000004</x:v>
      </x:c>
      <x:c r="C29" s="184" t="str">
        <x:v>&lt;=</x:v>
      </x:c>
      <x:c r="D29" s="184" t="n">
        <x:f>FINAL_01_Kendali!B11*(FINAL_01_Kendali!B10/26)</x:f>
        <x:v>69230.76923076922</x:v>
      </x:c>
      <x:c r="E29" s="184" t="str">
        <x:f>IF(B29&lt;=D29+0.01,"OK","VIOLATION")</x:f>
        <x:v>OK</x:v>
      </x:c>
      <x:c r="F29" s="184" t="str">
        <x:v>60 ton/bulan x horizon/26 hari kerja.</x:v>
      </x:c>
      <x:c r="G29" s="108"/>
      <x:c r="H29" s="154"/>
      <x:c r="I29" s="154"/>
      <x:c r="J29" s="154"/>
      <x:c r="K29" s="154"/>
      <x:c r="L29" s="154"/>
      <x:c r="M29" s="154"/>
    </x:row>
    <x:row r="30">
      <x:c r="A30" s="108" t="str">
        <x:v>Energy intensity gap</x:v>
      </x:c>
      <x:c r="B30" s="184" t="n">
        <x:f>J22-J15*FINAL_01_Kendali!B17</x:f>
        <x:v>127.86115640895059</x:v>
      </x:c>
      <x:c r="C30" s="184" t="str">
        <x:v>&lt;=</x:v>
      </x:c>
      <x:c r="D30" s="184" t="n">
        <x:v>0</x:v>
      </x:c>
      <x:c r="E30" s="184" t="str">
        <x:f>IF(FINAL_01_Kendali!B21=0,"SCENARIO ONLY",IF(B30&lt;=D30+0.0001,"OK","VIOLATION"))</x:f>
        <x:v>SCENARIO ONLY</x:v>
      </x:c>
      <x:c r="F30" s="184" t="str">
        <x:v>Linear form: Total kWh - IntensityCap × New FG &lt;= 0. Scenario only unless activated.</x:v>
      </x:c>
      <x:c r="G30" s="108"/>
      <x:c r="H30" s="154"/>
      <x:c r="I30" s="154"/>
      <x:c r="J30" s="154"/>
      <x:c r="K30" s="154"/>
      <x:c r="L30" s="154"/>
      <x:c r="M30" s="154"/>
    </x:row>
    <x:row r="31">
      <x:c r="A31" s="108" t="str">
        <x:v>Ending residual loin</x:v>
      </x:c>
      <x:c r="B31" s="184" t="n">
        <x:f>SUM(L5:L9)</x:f>
        <x:v>5147.651557150792</x:v>
      </x:c>
      <x:c r="C31" s="184" t="str">
        <x:v>&gt;=</x:v>
      </x:c>
      <x:c r="D31" s="184" t="n">
        <x:v>0</x:v>
      </x:c>
      <x:c r="E31" s="184" t="str">
        <x:f>IF(B31&gt;=D31-0.01,"OK","VIOLATION")</x:f>
        <x:v>OK</x:v>
      </x:c>
      <x:c r="F31" s="184" t="str">
        <x:v>Tidak boleh negatif; ini explicit excess/WIP proxy.</x:v>
      </x:c>
      <x:c r="G31" s="108"/>
      <x:c r="H31" s="154"/>
      <x:c r="I31" s="154"/>
      <x:c r="J31" s="154"/>
      <x:c r="K31" s="154"/>
      <x:c r="L31" s="154"/>
      <x:c r="M31" s="154"/>
    </x:row>
    <x:row r="32">
      <x:c r="A32" s="108"/>
      <x:c r="B32" s="108"/>
      <x:c r="C32" s="108"/>
      <x:c r="D32" s="108"/>
      <x:c r="E32" s="108"/>
      <x:c r="F32" s="108"/>
      <x:c r="G32" s="108"/>
      <x:c r="H32" s="108"/>
      <x:c r="I32" s="108"/>
      <x:c r="J32" s="108"/>
      <x:c r="K32" s="108"/>
      <x:c r="L32" s="108"/>
      <x:c r="M32" s="108"/>
    </x:row>
    <x:row r="33">
      <x:c r="A33" s="185" t="str">
        <x:v>OBJECTIVES / KPIs</x:v>
      </x:c>
      <x:c r="B33" s="185"/>
      <x:c r="C33" s="185"/>
      <x:c r="D33" s="185"/>
      <x:c r="E33" s="185"/>
      <x:c r="F33" s="185"/>
      <x:c r="G33" s="185"/>
      <x:c r="H33" s="185"/>
      <x:c r="I33" s="185"/>
      <x:c r="J33" s="185"/>
      <x:c r="K33" s="185"/>
      <x:c r="L33" s="185"/>
      <x:c r="M33" s="185"/>
    </x:row>
    <x:row r="34">
      <x:c r="A34" s="103" t="str">
        <x:v>Metric</x:v>
      </x:c>
      <x:c r="B34" s="103" t="str">
        <x:v>Value</x:v>
      </x:c>
      <x:c r="C34" s="103" t="str">
        <x:v>Unit</x:v>
      </x:c>
      <x:c r="D34" s="103" t="str">
        <x:v>Interpretation</x:v>
      </x:c>
      <x:c r="E34" s="108"/>
      <x:c r="F34" s="108"/>
      <x:c r="G34" s="108"/>
      <x:c r="H34" s="108"/>
      <x:c r="I34" s="108"/>
      <x:c r="J34" s="108"/>
      <x:c r="K34" s="108"/>
      <x:c r="L34" s="108"/>
      <x:c r="M34" s="108"/>
    </x:row>
    <x:row r="35">
      <x:c r="A35" s="108" t="str">
        <x:v>Objective A — Routing Contribution</x:v>
      </x:c>
      <x:c r="B35" s="108" t="n">
        <x:f>J21</x:f>
        <x:v>2029829662.1733668</x:v>
      </x:c>
      <x:c r="C35" s="108" t="str">
        <x:v>Rp</x:v>
      </x:c>
      <x:c r="D35" s="108" t="str">
        <x:v>MAXIMIZE pada run pertama.</x:v>
      </x:c>
      <x:c r="E35" s="108"/>
      <x:c r="F35" s="108"/>
      <x:c r="G35" s="108"/>
      <x:c r="H35" s="108"/>
      <x:c r="I35" s="108"/>
      <x:c r="J35" s="108"/>
      <x:c r="K35" s="108"/>
      <x:c r="L35" s="108"/>
      <x:c r="M35" s="108"/>
    </x:row>
    <x:row r="36">
      <x:c r="A36" s="108" t="str">
        <x:v>Ending Residual Loin</x:v>
      </x:c>
      <x:c r="B36" s="108" t="n">
        <x:f>SUM(L5:L9)</x:f>
        <x:v>5147.651557150792</x:v>
      </x:c>
      <x:c r="C36" s="108" t="str">
        <x:v>kg loin</x:v>
      </x:c>
      <x:c r="D36" s="108" t="str">
        <x:v>MINIMIZE pada run kedua dengan profit floor.</x:v>
      </x:c>
      <x:c r="E36" s="108"/>
      <x:c r="F36" s="108"/>
      <x:c r="G36" s="108"/>
      <x:c r="H36" s="108"/>
      <x:c r="I36" s="108"/>
      <x:c r="J36" s="108"/>
      <x:c r="K36" s="108"/>
      <x:c r="L36" s="108"/>
      <x:c r="M36" s="108"/>
    </x:row>
    <x:row r="37">
      <x:c r="A37" s="108" t="str">
        <x:v>Energy New Production</x:v>
      </x:c>
      <x:c r="B37" s="108" t="n">
        <x:f>J22</x:f>
        <x:v>7199.821361137592</x:v>
      </x:c>
      <x:c r="C37" s="108" t="str">
        <x:v>kWh</x:v>
      </x:c>
      <x:c r="D37" s="108" t="str">
        <x:v>MINIMIZE pada run ketiga dengan profit + residual constraints.</x:v>
      </x:c>
      <x:c r="E37" s="108"/>
      <x:c r="F37" s="108"/>
      <x:c r="G37" s="108"/>
      <x:c r="H37" s="108"/>
      <x:c r="I37" s="108"/>
      <x:c r="J37" s="108"/>
      <x:c r="K37" s="108"/>
      <x:c r="L37" s="108"/>
      <x:c r="M37" s="108"/>
    </x:row>
    <x:row r="38">
      <x:c r="A38" s="108" t="str">
        <x:v>Profit Retention Floor</x:v>
      </x:c>
      <x:c r="B38" s="108" t="n">
        <x:f>FINAL_01_Kendali!B18*B35</x:f>
        <x:v>1928338179.0646985</x:v>
      </x:c>
      <x:c r="C38" s="108" t="str">
        <x:v>Rp</x:v>
      </x:c>
      <x:c r="D38" s="108" t="str">
        <x:v>Profit Max × retention input; hanya dipakai tahap 2/3.</x:v>
      </x:c>
      <x:c r="E38" s="108"/>
      <x:c r="F38" s="108"/>
      <x:c r="G38" s="108"/>
      <x:c r="H38" s="108"/>
      <x:c r="I38" s="108"/>
      <x:c r="J38" s="108"/>
      <x:c r="K38" s="108"/>
      <x:c r="L38" s="108"/>
      <x:c r="M38" s="108"/>
    </x:row>
    <x:row r="39">
      <x:c r="A39" s="108" t="str">
        <x:v>Current WIP+Excess baseline</x:v>
      </x:c>
      <x:c r="B39" s="108" t="n">
        <x:f>FINAL_03_Resource!B29</x:f>
        <x:v>9898.5</x:v>
      </x:c>
      <x:c r="C39" s="108" t="str">
        <x:v>kg</x:v>
      </x:c>
      <x:c r="D39" s="108" t="str">
        <x:v>Current capital-lock proxy; tidak identik tahapnya dengan ending residual.</x:v>
      </x:c>
      <x:c r="E39" s="108"/>
      <x:c r="F39" s="108"/>
      <x:c r="G39" s="108"/>
      <x:c r="H39" s="108"/>
      <x:c r="I39" s="108"/>
      <x:c r="J39" s="108"/>
      <x:c r="K39" s="108"/>
      <x:c r="L39" s="108"/>
      <x:c r="M39" s="108"/>
    </x:row>
    <x:row r="40">
      <x:c r="A40" s="108" t="str">
        <x:v>Shipment Fill</x:v>
      </x:c>
      <x:c r="B40" s="186" t="n">
        <x:f>J17/FINAL_01_Kendali!B7</x:f>
        <x:v>1.0000000000000002</x:v>
      </x:c>
      <x:c r="C40" s="108" t="str">
        <x:v>% of 19t</x:v>
      </x:c>
      <x:c r="D40" s="108" t="str">
        <x:v>KPI utilisasi container.</x:v>
      </x:c>
      <x:c r="E40" s="108"/>
      <x:c r="F40" s="108"/>
      <x:c r="G40" s="108"/>
      <x:c r="H40" s="108"/>
      <x:c r="I40" s="108"/>
      <x:c r="J40" s="108"/>
      <x:c r="K40" s="108"/>
      <x:c r="L40" s="108"/>
      <x:c r="M40" s="108"/>
    </x:row>
    <x:row r="41">
      <x:c r="A41" t="str">
        <x:v>Energy Intensity New Production</x:v>
      </x:c>
      <x:c r="B41" s="210" t="n">
        <x:f>IF(J15=0,0,J22/J15)</x:f>
        <x:v>0.47203028943632885</x:v>
      </x:c>
      <x:c r="C41" t="str">
        <x:v>kWh/kg FG</x:v>
      </x:c>
      <x:c r="D41" t="str">
        <x:v>Gunakan untuk perbandingan apples-to-apples antar mix.</x:v>
      </x:c>
    </x:row>
  </x:sheetData>
  <x:mergeCells>
    <x:mergeCell ref="A1:M1"/>
    <x:mergeCell ref="A2:M2"/>
    <x:mergeCell ref="A11:M11"/>
    <x:mergeCell ref="A24:M24"/>
    <x:mergeCell ref="A33:M33"/>
    <x:mergeCell ref="H25:M31"/>
  </x:mergeCells>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18" hidden="0" customWidth="1"/>
    <x:col min="3" max="3" width="22" hidden="0" customWidth="1"/>
    <x:col min="4" max="4" width="15" hidden="0" customWidth="1"/>
    <x:col min="5" max="5" width="18"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ht="26" customHeight="1">
      <x:c r="A1" s="95" t="str">
        <x:v>FINAL — PROFIT / EXCESS / ENERGY TRADE-OFF (EPSILON-CONSTRAINT, BUKAN ALPHA)</x:v>
      </x:c>
      <x:c r="B1" s="95"/>
      <x:c r="C1" s="95"/>
      <x:c r="D1" s="95"/>
      <x:c r="E1" s="95"/>
      <x:c r="F1" s="95"/>
      <x:c r="G1" s="95"/>
      <x:c r="H1" s="95"/>
      <x:c r="I1" s="95"/>
      <x:c r="J1" s="95"/>
      <x:c r="K1" s="95"/>
      <x:c r="L1" s="95"/>
      <x:c r="M1" s="95"/>
    </x:row>
    <x:row r="3">
      <x:c r="A3" s="103" t="str">
        <x:v>Profit Retention</x:v>
      </x:c>
      <x:c r="B3" s="103" t="str">
        <x:v>Routing Contribution</x:v>
      </x:c>
      <x:c r="C3" s="103" t="str">
        <x:v>Ending Residual Loin</x:v>
      </x:c>
      <x:c r="D3" s="103" t="str">
        <x:v>New FG</x:v>
      </x:c>
      <x:c r="E3" s="103" t="str">
        <x:v>Shipment FG</x:v>
      </x:c>
      <x:c r="F3" s="103" t="str">
        <x:v>Energy New Prod.</x:v>
      </x:c>
      <x:c r="G3" s="103" t="str">
        <x:v>Saku</x:v>
      </x:c>
      <x:c r="H3" s="103" t="str">
        <x:v>Steak 4</x:v>
      </x:c>
      <x:c r="I3" s="103" t="str">
        <x:v>Steak 6</x:v>
      </x:c>
      <x:c r="J3" s="103" t="str">
        <x:v>Steak 8</x:v>
      </x:c>
      <x:c r="K3" s="103" t="str">
        <x:v>Steak 10</x:v>
      </x:c>
      <x:c r="L3" s="103" t="str">
        <x:v>Poke</x:v>
      </x:c>
      <x:c r="M3" s="103" t="str">
        <x:v>Medallion</x:v>
      </x:c>
    </x:row>
    <x:row r="4">
      <x:c r="A4" s="198" t="n">
        <x:v>1</x:v>
      </x:c>
      <x:c r="B4" s="184" t="n">
        <x:v>2029829660.421454</x:v>
      </x:c>
      <x:c r="C4" s="184" t="n">
        <x:v>5147.651557150777</x:v>
      </x:c>
      <x:c r="D4" s="184" t="n">
        <x:v>15252.88</x:v>
      </x:c>
      <x:c r="E4" s="184" t="n">
        <x:v>19000</x:v>
      </x:c>
      <x:c r="F4" s="184" t="n">
        <x:v>7199.821361137599</x:v>
      </x:c>
      <x:c r="G4" s="184" t="n">
        <x:v>5234.81</x:v>
      </x:c>
      <x:c r="H4" s="184" t="n">
        <x:v>62.17000000003233</x:v>
      </x:c>
      <x:c r="I4" s="184" t="n">
        <x:v>1640.4800000000002</x:v>
      </x:c>
      <x:c r="J4" s="184" t="n">
        <x:v>3538.3</x:v>
      </x:c>
      <x:c r="K4" s="184" t="n">
        <x:v>2507.12</x:v>
      </x:c>
      <x:c r="L4" s="184" t="n">
        <x:v>2269.999999999967</x:v>
      </x:c>
      <x:c r="M4" s="184" t="n">
        <x:v>0</x:v>
      </x:c>
    </x:row>
    <x:row r="5">
      <x:c r="A5" s="198" t="n">
        <x:v>0.99</x:v>
      </x:c>
      <x:c r="B5" s="184" t="n">
        <x:v>2009531363.8172393</x:v>
      </x:c>
      <x:c r="C5" s="184" t="n">
        <x:v>5088.233912347838</x:v>
      </x:c>
      <x:c r="D5" s="184" t="n">
        <x:v>15252.880000000001</x:v>
      </x:c>
      <x:c r="E5" s="184" t="n">
        <x:v>19000</x:v>
      </x:c>
      <x:c r="F5" s="184" t="n">
        <x:v>7295.558903889309</x:v>
      </x:c>
      <x:c r="G5" s="184" t="n">
        <x:v>5234.81</x:v>
      </x:c>
      <x:c r="H5" s="184" t="n">
        <x:v>148.32999999999993</x:v>
      </x:c>
      <x:c r="I5" s="184" t="n">
        <x:v>1640.4800000000002</x:v>
      </x:c>
      <x:c r="J5" s="184" t="n">
        <x:v>3538.3</x:v>
      </x:c>
      <x:c r="K5" s="184" t="n">
        <x:v>2507.12</x:v>
      </x:c>
      <x:c r="L5" s="184" t="n">
        <x:v>1646.7274629043961</x:v>
      </x:c>
      <x:c r="M5" s="184" t="n">
        <x:v>537.1125370956029</x:v>
      </x:c>
    </x:row>
    <x:row r="6">
      <x:c r="A6" s="198" t="n">
        <x:v>0.98</x:v>
      </x:c>
      <x:c r="B6" s="184" t="n">
        <x:v>1989233067.2130249</x:v>
      </x:c>
      <x:c r="C6" s="184" t="n">
        <x:v>5046.065259637471</x:v>
      </x:c>
      <x:c r="D6" s="184" t="n">
        <x:v>15252.879999999997</x:v>
      </x:c>
      <x:c r="E6" s="184" t="n">
        <x:v>18999.999999999996</x:v>
      </x:c>
      <x:c r="F6" s="184" t="n">
        <x:v>7330.970258929096</x:v>
      </x:c>
      <x:c r="G6" s="184" t="n">
        <x:v>5171.448438710407</x:v>
      </x:c>
      <x:c r="H6" s="184" t="n">
        <x:v>148.32999999999993</x:v>
      </x:c>
      <x:c r="I6" s="184" t="n">
        <x:v>1640.4800000000002</x:v>
      </x:c>
      <x:c r="J6" s="184" t="n">
        <x:v>3538.3</x:v>
      </x:c>
      <x:c r="K6" s="184" t="n">
        <x:v>2507.12</x:v>
      </x:c>
      <x:c r="L6" s="184" t="n">
        <x:v>1357.361561289591</x:v>
      </x:c>
      <x:c r="M6" s="184" t="n">
        <x:v>889.84</x:v>
      </x:c>
    </x:row>
    <x:row r="7">
      <x:c r="A7" s="198" t="n">
        <x:v>0.95</x:v>
      </x:c>
      <x:c r="B7" s="184" t="n">
        <x:v>1928338177.400381</x:v>
      </x:c>
      <x:c r="C7" s="184" t="n">
        <x:v>4923.541034482572</x:v>
      </x:c>
      <x:c r="D7" s="184" t="n">
        <x:v>15252.879999999997</x:v>
      </x:c>
      <x:c r="E7" s="184" t="n">
        <x:v>18999.999999999996</x:v>
      </x:c>
      <x:c r="F7" s="184" t="n">
        <x:v>7161.158919057231</x:v>
      </x:c>
      <x:c r="G7" s="184" t="n">
        <x:v>4655.769173699097</x:v>
      </x:c>
      <x:c r="H7" s="184" t="n">
        <x:v>148.32999999999993</x:v>
      </x:c>
      <x:c r="I7" s="184" t="n">
        <x:v>1640.4800000000002</x:v>
      </x:c>
      <x:c r="J7" s="184" t="n">
        <x:v>3538.3</x:v>
      </x:c>
      <x:c r="K7" s="184" t="n">
        <x:v>2507.12</x:v>
      </x:c>
      <x:c r="L7" s="184" t="n">
        <x:v>1873.0408263009003</x:v>
      </x:c>
      <x:c r="M7" s="184" t="n">
        <x:v>889.84</x:v>
      </x:c>
    </x:row>
    <x:row r="8">
      <x:c r="A8" s="198" t="n">
        <x:v>0.9</x:v>
      </x:c>
      <x:c r="B8" s="184" t="n">
        <x:v>1881462557.6447673</x:v>
      </x:c>
      <x:c r="C8" s="184" t="n">
        <x:v>4829.224434076808</x:v>
      </x:c>
      <x:c r="D8" s="184" t="n">
        <x:v>15252.880000000001</x:v>
      </x:c>
      <x:c r="E8" s="184" t="n">
        <x:v>19000</x:v>
      </x:c>
      <x:c r="F8" s="184" t="n">
        <x:v>7030.441681165586</x:v>
      </x:c>
      <x:c r="G8" s="184" t="n">
        <x:v>4258.8099999999995</x:v>
      </x:c>
      <x:c r="H8" s="184" t="n">
        <x:v>148.32999999999993</x:v>
      </x:c>
      <x:c r="I8" s="184" t="n">
        <x:v>1640.4800000000002</x:v>
      </x:c>
      <x:c r="J8" s="184" t="n">
        <x:v>3538.3</x:v>
      </x:c>
      <x:c r="K8" s="184" t="n">
        <x:v>2507.12</x:v>
      </x:c>
      <x:c r="L8" s="184" t="n">
        <x:v>2270</x:v>
      </x:c>
      <x:c r="M8" s="184" t="n">
        <x:v>889.84</x:v>
      </x:c>
    </x:row>
    <x:row r="9">
      <x:c r="A9" s="108"/>
      <x:c r="B9" s="108"/>
      <x:c r="C9" s="108"/>
      <x:c r="D9" s="108"/>
      <x:c r="E9" s="108"/>
      <x:c r="F9" s="108"/>
      <x:c r="G9" s="108"/>
      <x:c r="H9" s="108"/>
      <x:c r="I9" s="108"/>
      <x:c r="J9" s="108"/>
      <x:c r="K9" s="108"/>
      <x:c r="L9" s="108"/>
      <x:c r="M9" s="108"/>
    </x:row>
    <x:row r="10">
      <x:c r="A10" s="183" t="str">
        <x:v>CARA MEMBACA</x:v>
      </x:c>
      <x:c r="B10" s="183"/>
      <x:c r="C10" s="183"/>
      <x:c r="D10" s="183"/>
      <x:c r="E10" s="183"/>
      <x:c r="F10" s="183"/>
      <x:c r="G10" s="183"/>
      <x:c r="H10" s="183"/>
      <x:c r="I10" s="183"/>
      <x:c r="J10" s="183"/>
      <x:c r="K10" s="183"/>
      <x:c r="L10" s="183"/>
      <x:c r="M10" s="183"/>
    </x:row>
    <x:row r="11">
      <x:c r="A11" s="195" t="str">
        <x:v>Tabel ini mengganti logika 'pilih alpha 70%'. Pertama cari Profit Max. Setelah economic ceiling diketahui, pilih berapa persen profit yang rela dipertahankan (mis. 95%–99%), lalu minimize ending residual. Dengan cara ini trade-off profit vs MTS terlihat transparan dan tidak memaksa semua SKU memenuhi persentase PO yang sama. Angka frontier di atas dihitung dari input workbook saat ini; bila harga/yield/resource berubah, jalankan Solver ulang.</x:v>
      </x:c>
      <x:c r="B11" s="195"/>
      <x:c r="C11" s="195"/>
      <x:c r="D11" s="195"/>
      <x:c r="E11" s="195"/>
      <x:c r="F11" s="195"/>
      <x:c r="G11" s="195"/>
      <x:c r="H11" s="195"/>
      <x:c r="I11" s="195"/>
      <x:c r="J11" s="195"/>
      <x:c r="K11" s="195"/>
      <x:c r="L11" s="195"/>
      <x:c r="M11" s="195"/>
    </x:row>
    <x:row r="12">
      <x:c r="A12" s="195"/>
      <x:c r="B12" s="195"/>
      <x:c r="C12" s="195"/>
      <x:c r="D12" s="195"/>
      <x:c r="E12" s="195"/>
      <x:c r="F12" s="195"/>
      <x:c r="G12" s="195"/>
      <x:c r="H12" s="195"/>
      <x:c r="I12" s="195"/>
      <x:c r="J12" s="195"/>
      <x:c r="K12" s="195"/>
      <x:c r="L12" s="195"/>
      <x:c r="M12" s="195"/>
    </x:row>
    <x:row r="13">
      <x:c r="A13" s="195"/>
      <x:c r="B13" s="195"/>
      <x:c r="C13" s="195"/>
      <x:c r="D13" s="195"/>
      <x:c r="E13" s="195"/>
      <x:c r="F13" s="195"/>
      <x:c r="G13" s="195"/>
      <x:c r="H13" s="195"/>
      <x:c r="I13" s="195"/>
      <x:c r="J13" s="195"/>
      <x:c r="K13" s="195"/>
      <x:c r="L13" s="195"/>
      <x:c r="M13" s="195"/>
    </x:row>
    <x:row r="14">
      <x:c r="A14" s="195"/>
      <x:c r="B14" s="195"/>
      <x:c r="C14" s="195"/>
      <x:c r="D14" s="195"/>
      <x:c r="E14" s="195"/>
      <x:c r="F14" s="195"/>
      <x:c r="G14" s="195"/>
      <x:c r="H14" s="195"/>
      <x:c r="I14" s="195"/>
      <x:c r="J14" s="195"/>
      <x:c r="K14" s="195"/>
      <x:c r="L14" s="195"/>
      <x:c r="M14" s="195"/>
    </x:row>
    <x:row r="15">
      <x:c r="A15" s="108"/>
      <x:c r="B15" s="108"/>
      <x:c r="C15" s="108"/>
      <x:c r="D15" s="108"/>
      <x:c r="E15" s="108"/>
      <x:c r="F15" s="108"/>
      <x:c r="G15" s="108"/>
      <x:c r="H15" s="108"/>
      <x:c r="I15" s="108"/>
      <x:c r="J15" s="108"/>
      <x:c r="K15" s="108"/>
      <x:c r="L15" s="108"/>
      <x:c r="M15" s="108"/>
    </x:row>
    <x:row r="16">
      <x:c r="A16" s="185" t="str">
        <x:v>ENERGY INTENSITY SCENARIO — MAX ROUTING VALUE DI BAWAH INTENSITY CAP</x:v>
      </x:c>
      <x:c r="B16" s="185"/>
      <x:c r="C16" s="185"/>
      <x:c r="D16" s="185"/>
      <x:c r="E16" s="185"/>
      <x:c r="F16" s="185"/>
      <x:c r="G16" s="185"/>
      <x:c r="H16" s="185"/>
      <x:c r="I16" s="185"/>
      <x:c r="J16" s="185"/>
      <x:c r="K16" s="185"/>
      <x:c r="L16" s="185"/>
      <x:c r="M16" s="185"/>
    </x:row>
    <x:row r="17">
      <x:c r="A17" s="103" t="str">
        <x:v>Intensity Reduction Target</x:v>
      </x:c>
      <x:c r="B17" s="103" t="str">
        <x:v>Intensity Cap</x:v>
      </x:c>
      <x:c r="C17" s="103" t="str">
        <x:v>Routing Contribution</x:v>
      </x:c>
      <x:c r="D17" s="103" t="str">
        <x:v>Shipment FG</x:v>
      </x:c>
      <x:c r="E17" s="103" t="str">
        <x:v>Ending Residual</x:v>
      </x:c>
      <x:c r="F17" s="103" t="str">
        <x:v>Energy Total</x:v>
      </x:c>
      <x:c r="G17" s="103" t="str">
        <x:v>Actual Intensity</x:v>
      </x:c>
      <x:c r="H17" s="108"/>
      <x:c r="I17" s="108"/>
      <x:c r="J17" s="108"/>
      <x:c r="K17" s="108"/>
      <x:c r="L17" s="108"/>
      <x:c r="M17" s="108"/>
    </x:row>
    <x:row r="18">
      <x:c r="A18" s="198" t="n">
        <x:v>0</x:v>
      </x:c>
      <x:c r="B18" s="214" t="n">
        <x:v>0.46364753441505085</x:v>
      </x:c>
      <x:c r="C18" s="184" t="n">
        <x:v>1919231652.416811</x:v>
      </x:c>
      <x:c r="D18" s="184" t="n">
        <x:v>19000</x:v>
      </x:c>
      <x:c r="E18" s="184" t="n">
        <x:v>4906.138477320164</x:v>
      </x:c>
      <x:c r="F18" s="184" t="n">
        <x:v>7071.960204728641</x:v>
      </x:c>
      <x:c r="G18" s="214" t="n">
        <x:v>0.46364753441505085</x:v>
      </x:c>
      <x:c r="H18" s="108"/>
      <x:c r="I18" s="108"/>
      <x:c r="J18" s="108"/>
      <x:c r="K18" s="108"/>
      <x:c r="L18" s="108"/>
      <x:c r="M18" s="108"/>
    </x:row>
    <x:row r="19">
      <x:c r="A19" s="198" t="n">
        <x:v>0.05</x:v>
      </x:c>
      <x:c r="B19" s="214" t="n">
        <x:v>0.4404651576942983</x:v>
      </x:c>
      <x:c r="C19" s="184" t="n">
        <x:v>1553591916.87849</x:v>
      </x:c>
      <x:c r="D19" s="184" t="n">
        <x:v>17405.087612384912</x:v>
      </x:c>
      <x:c r="E19" s="184" t="n">
        <x:v>7871.926018964383</x:v>
      </x:c>
      <x:c r="F19" s="184" t="n">
        <x:v>6015.858858172739</x:v>
      </x:c>
      <x:c r="G19" s="214" t="n">
        <x:v>0.4404651576942983</x:v>
      </x:c>
      <x:c r="H19" s="108"/>
      <x:c r="I19" s="108"/>
      <x:c r="J19" s="108"/>
      <x:c r="K19" s="108"/>
      <x:c r="L19" s="108"/>
      <x:c r="M19" s="108"/>
    </x:row>
    <x:row r="20">
      <x:c r="A20" s="198" t="n">
        <x:v>0.1</x:v>
      </x:c>
      <x:c r="B20" s="214" t="n">
        <x:v>0.41728278097354576</x:v>
      </x:c>
      <x:c r="C20" s="184" t="n">
        <x:v>1256182468.9227831</x:v>
      </x:c>
      <x:c r="D20" s="184" t="n">
        <x:v>15958.352364514836</x:v>
      </x:c>
      <x:c r="E20" s="184" t="n">
        <x:v>10631.941970805728</x:v>
      </x:c>
      <x:c r="F20" s="184" t="n">
        <x:v>5095.537000178916</x:v>
      </x:c>
      <x:c r="G20" s="214" t="n">
        <x:v>0.41728278097354565</x:v>
      </x:c>
      <x:c r="H20" s="108"/>
      <x:c r="I20" s="108"/>
      <x:c r="J20" s="108"/>
      <x:c r="K20" s="108"/>
      <x:c r="L20" s="108"/>
      <x:c r="M20" s="108"/>
    </x:row>
    <x:row r="21">
      <x:c r="A21" s="198" t="n">
        <x:v>0.15</x:v>
      </x:c>
      <x:c r="B21" s="214" t="n">
        <x:v>0.3941004042527932</x:v>
      </x:c>
      <x:c r="C21" s="184" t="n">
        <x:v>1024860478.4503504</x:v>
      </x:c>
      <x:c r="D21" s="184" t="n">
        <x:v>14164.671215713164</x:v>
      </x:c>
      <x:c r="E21" s="184" t="n">
        <x:v>14333.671382125518</x:v>
      </x:c>
      <x:c r="F21" s="184" t="n">
        <x:v>4105.5611454367345</x:v>
      </x:c>
      <x:c r="G21" s="214" t="n">
        <x:v>0.39410040425279314</x:v>
      </x:c>
      <x:c r="H21" s="108"/>
      <x:c r="I21" s="108"/>
      <x:c r="J21" s="108"/>
      <x:c r="K21" s="108"/>
      <x:c r="L21" s="108"/>
      <x:c r="M21" s="108"/>
    </x:row>
    <x:row r="22">
      <x:c r="A22" s="198" t="n">
        <x:v>0.2</x:v>
      </x:c>
      <x:c r="B22" s="214" t="n">
        <x:v>0.37091802753204073</x:v>
      </x:c>
      <x:c r="C22" s="184" t="n">
        <x:v>591551077.4608446</x:v>
      </x:c>
      <x:c r="D22" s="184" t="n">
        <x:v>10011.145174576068</x:v>
      </x:c>
      <x:c r="E22" s="184" t="n">
        <x:v>23978.065582878633</x:v>
      </x:c>
      <x:c r="F22" s="184" t="n">
        <x:v>2323.4398621648024</x:v>
      </x:c>
      <x:c r="G22" s="214" t="n">
        <x:v>0.3709180275320408</x:v>
      </x:c>
      <x:c r="H22" s="108"/>
      <x:c r="I22" s="108"/>
      <x:c r="J22" s="108"/>
      <x:c r="K22" s="108"/>
      <x:c r="L22" s="108"/>
      <x:c r="M22" s="108"/>
    </x:row>
    <x:row r="23">
      <x:c r="A23" s="198" t="n">
        <x:v>0.25</x:v>
      </x:c>
      <x:c r="B23" s="214" t="n">
        <x:v>0.34773565081128816</x:v>
      </x:c>
      <x:c r="C23" s="184" t="n">
        <x:v>354968103.5202527</x:v>
      </x:c>
      <x:c r="D23" s="184" t="n">
        <x:v>7606.513950662804</x:v>
      </x:c>
      <x:c r="E23" s="184" t="n">
        <x:v>29642.83298675473</x:v>
      </x:c>
      <x:c r="F23" s="184" t="n">
        <x:v>1342.0488671708786</x:v>
      </x:c>
      <x:c r="G23" s="214" t="n">
        <x:v>0.34773565081128816</x:v>
      </x:c>
      <x:c r="H23" s="108"/>
      <x:c r="I23" s="108"/>
      <x:c r="J23" s="108"/>
      <x:c r="K23" s="108"/>
      <x:c r="L23" s="108"/>
      <x:c r="M23" s="108"/>
    </x:row>
    <x:row r="25">
      <x:c r="A25" s="154" t="str">
        <x:v>Energy scenario menggunakan INTENSITY (kWh/kg new FG), bukan hanya total kWh. Ini lebih fair karena total energi dapat turun hanya karena volume produksi turun. Run 1 Profit Max tidak wajib memakai energy cap selama Aruna belum memberi plant quota/target aktual. Aktifkan di Run 3 atau sensitivity.</x:v>
      </x:c>
      <x:c r="B25" s="154"/>
      <x:c r="C25" s="154"/>
      <x:c r="D25" s="154"/>
      <x:c r="E25" s="154"/>
      <x:c r="F25" s="154"/>
      <x:c r="G25" s="154"/>
      <x:c r="H25" s="154"/>
      <x:c r="I25" s="154"/>
      <x:c r="J25" s="154"/>
      <x:c r="K25" s="154"/>
      <x:c r="L25" s="154"/>
      <x:c r="M25" s="154"/>
    </x:row>
    <x:row r="26">
      <x:c r="A26" s="154"/>
      <x:c r="B26" s="154"/>
      <x:c r="C26" s="154"/>
      <x:c r="D26" s="154"/>
      <x:c r="E26" s="154"/>
      <x:c r="F26" s="154"/>
      <x:c r="G26" s="154"/>
      <x:c r="H26" s="154"/>
      <x:c r="I26" s="154"/>
      <x:c r="J26" s="154"/>
      <x:c r="K26" s="154"/>
      <x:c r="L26" s="154"/>
      <x:c r="M26" s="154"/>
    </x:row>
    <x:row r="27">
      <x:c r="A27" s="154"/>
      <x:c r="B27" s="154"/>
      <x:c r="C27" s="154"/>
      <x:c r="D27" s="154"/>
      <x:c r="E27" s="154"/>
      <x:c r="F27" s="154"/>
      <x:c r="G27" s="154"/>
      <x:c r="H27" s="154"/>
      <x:c r="I27" s="154"/>
      <x:c r="J27" s="154"/>
      <x:c r="K27" s="154"/>
      <x:c r="L27" s="154"/>
      <x:c r="M27" s="154"/>
    </x:row>
    <x:row r="28">
      <x:c r="A28" s="154"/>
      <x:c r="B28" s="154"/>
      <x:c r="C28" s="154"/>
      <x:c r="D28" s="154"/>
      <x:c r="E28" s="154"/>
      <x:c r="F28" s="154"/>
      <x:c r="G28" s="154"/>
      <x:c r="H28" s="154"/>
      <x:c r="I28" s="154"/>
      <x:c r="J28" s="154"/>
      <x:c r="K28" s="154"/>
      <x:c r="L28" s="154"/>
      <x:c r="M28" s="154"/>
    </x:row>
  </x:sheetData>
  <x:mergeCells>
    <x:mergeCell ref="A1:M1"/>
    <x:mergeCell ref="A10:M10"/>
    <x:mergeCell ref="A11:M14"/>
    <x:mergeCell ref="A16:M16"/>
    <x:mergeCell ref="A25:M28"/>
  </x:mergeCells>
  <x:pageMargins left="0.7" right="0.7" top="0.75" bottom="0.75" header="0.3" footer="0.3"/>
</x:worksheet>
</file>

<file path=xl/worksheets/sheet20.xml><?xml version="1.0" encoding="utf-8"?>
<x:worksheet xmlns:x="http://schemas.openxmlformats.org/spreadsheetml/2006/main">
  <x:sheetFormatPr defaultRowHeight="15"/>
  <x:cols>
    <x:col min="1" max="1" width="27" hidden="0" customWidth="1"/>
    <x:col min="2" max="2" width="38" hidden="0" customWidth="1"/>
    <x:col min="3" max="3" width="32" hidden="0" customWidth="1"/>
    <x:col min="4" max="4" width="45" hidden="0" customWidth="1"/>
    <x:col min="5" max="5" width="4" hidden="0" customWidth="1"/>
    <x:col min="6" max="6" width="4" hidden="0" customWidth="1"/>
    <x:col min="7" max="7" width="4" hidden="0" customWidth="1"/>
    <x:col min="8" max="8" width="4" hidden="0" customWidth="1"/>
  </x:cols>
  <x:sheetData>
    <x:row r="1" ht="26" customHeight="1">
      <x:c r="A1" s="95" t="str">
        <x:v>FINAL — PANDUAN SOLVER &amp; CARA PAKAI MODEL</x:v>
      </x:c>
      <x:c r="B1" s="95"/>
      <x:c r="C1" s="95"/>
      <x:c r="D1" s="95"/>
      <x:c r="E1" s="95"/>
      <x:c r="F1" s="95"/>
      <x:c r="G1" s="95"/>
      <x:c r="H1" s="95"/>
    </x:row>
    <x:row r="3">
      <x:c r="A3" s="116" t="str">
        <x:v>LANGKAH 0 — UPDATE INPUT SEBELUM SOLVER</x:v>
      </x:c>
      <x:c r="B3" s="116"/>
      <x:c r="C3" s="116"/>
      <x:c r="D3" s="116"/>
      <x:c r="E3" s="116"/>
      <x:c r="F3" s="116"/>
      <x:c r="G3" s="116"/>
      <x:c r="H3" s="116"/>
    </x:row>
    <x:row r="4">
      <x:c r="A4" s="103" t="str">
        <x:v>Urutan</x:v>
      </x:c>
      <x:c r="B4" s="103" t="str">
        <x:v>Yang dicek</x:v>
      </x:c>
      <x:c r="C4" s="103" t="str">
        <x:v>Lokasi</x:v>
      </x:c>
      <x:c r="D4" s="103" t="str">
        <x:v>Apa yang harus dilakukan</x:v>
      </x:c>
    </x:row>
    <x:row r="5">
      <x:c r="A5" s="108" t="str">
        <x:v>1</x:v>
      </x:c>
      <x:c r="B5" s="108" t="str">
        <x:v>Resource shipment</x:v>
      </x:c>
      <x:c r="C5" s="108" t="str">
        <x:v>FINAL_01_Kendali B4:B5</x:v>
      </x:c>
      <x:c r="D5" s="108" t="str">
        <x:v>Update WGG dan WIP actual untuk shipment yang akan direncanakan.</x:v>
      </x:c>
    </x:row>
    <x:row r="6">
      <x:c r="A6" s="108" t="str">
        <x:v>2</x:v>
      </x:c>
      <x:c r="B6" s="108" t="str">
        <x:v>PO / demand ceiling</x:v>
      </x:c>
      <x:c r="C6" s="108" t="str">
        <x:v>FINAL_02_Ekonomi B4:B11</x:v>
      </x:c>
      <x:c r="D6" s="108" t="str">
        <x:v>Pastikan PO terbaru; stock clearance toggle menentukan Net PO Produksi.</x:v>
      </x:c>
    </x:row>
    <x:row r="7">
      <x:c r="A7" s="108" t="str">
        <x:v>3</x:v>
      </x:c>
      <x:c r="B7" s="108" t="str">
        <x:v>Yield rho</x:v>
      </x:c>
      <x:c r="C7" s="108" t="str">
        <x:v>FINAL_02_Ekonomi H4:H11</x:v>
      </x:c>
      <x:c r="D7" s="108" t="str">
        <x:v>Ganti benchmark/asumsi bila Aruna memberi recovery aktual.</x:v>
      </x:c>
    </x:row>
    <x:row r="8">
      <x:c r="A8" s="108" t="str">
        <x:v>4</x:v>
      </x:c>
      <x:c r="B8" s="108" t="str">
        <x:v>Eligibility</x:v>
      </x:c>
      <x:c r="C8" s="108" t="str">
        <x:v>FINAL_03_Resource B18:I22</x:v>
      </x:c>
      <x:c r="D8" s="108" t="str">
        <x:v>Set 1/0 sesuai size-grade-quality yang benar-benar boleh masuk SKU.</x:v>
      </x:c>
    </x:row>
    <x:row r="9">
      <x:c r="A9" s="108" t="str">
        <x:v>5</x:v>
      </x:c>
      <x:c r="B9" s="108" t="str">
        <x:v>Contractual minimum</x:v>
      </x:c>
      <x:c r="C9" s="108" t="str">
        <x:v>FINAL_04_Optimizer B19:I19</x:v>
      </x:c>
      <x:c r="D9" s="108" t="str">
        <x:v>Isi hanya bila buyer memang punya minimum commitment per SKU.</x:v>
      </x:c>
    </x:row>
    <x:row r="10">
      <x:c r="A10" s="108" t="str">
        <x:v>6</x:v>
      </x:c>
      <x:c r="B10" s="108" t="str">
        <x:v>Energy scenario</x:v>
      </x:c>
      <x:c r="C10" s="108" t="str">
        <x:v>FINAL_01_Kendali B16</x:v>
      </x:c>
      <x:c r="D10" s="108" t="str">
        <x:v>Set target reduction intensity; aktifkan constraint hanya untuk scenario/Run 3.</x:v>
      </x:c>
    </x:row>
    <x:row r="12">
      <x:c r="A12" s="116" t="str">
        <x:v>RUN 1 — PROFIT MAX (WAJIB DILAKUKAN PERTAMA)</x:v>
      </x:c>
      <x:c r="B12" s="116"/>
      <x:c r="C12" s="116"/>
      <x:c r="D12" s="116"/>
      <x:c r="E12" s="116"/>
      <x:c r="F12" s="116"/>
      <x:c r="G12" s="116"/>
      <x:c r="H12" s="116"/>
    </x:row>
    <x:row r="13">
      <x:c r="A13" s="103" t="str">
        <x:v>Solver Setting</x:v>
      </x:c>
      <x:c r="B13" s="103" t="str">
        <x:v>Isi</x:v>
      </x:c>
      <x:c r="C13" s="103" t="str">
        <x:v>Makna</x:v>
      </x:c>
      <x:c r="D13" s="103" t="str">
        <x:v>Catatan</x:v>
      </x:c>
    </x:row>
    <x:row r="14">
      <x:c r="A14" s="108" t="str">
        <x:v>Set Objective</x:v>
      </x:c>
      <x:c r="B14" s="108" t="str">
        <x:v>FINAL_04_Optimizer!$J$21</x:v>
      </x:c>
      <x:c r="C14" s="108" t="str">
        <x:v>MAX</x:v>
      </x:c>
      <x:c r="D14" s="108" t="str">
        <x:v>Total routing contribution.</x:v>
      </x:c>
    </x:row>
    <x:row r="15">
      <x:c r="A15" s="108" t="str">
        <x:v>By Changing Cells</x:v>
      </x:c>
      <x:c r="B15" s="108" t="str">
        <x:v>FINAL_04_Optimizer!$B$5:$I$9</x:v>
      </x:c>
      <x:c r="C15" s="108" t="str"/>
      <x:c r="D15" s="108" t="str">
        <x:v>40 decision variables (kg loin).</x:v>
      </x:c>
    </x:row>
    <x:row r="16">
      <x:c r="A16" s="108" t="str">
        <x:v>Constraint supply</x:v>
      </x:c>
      <x:c r="B16" s="108" t="str">
        <x:v>$J$5:$J$9 &lt;= $K$5:$K$9</x:v>
      </x:c>
      <x:c r="C16" s="108" t="str"/>
      <x:c r="D16" s="108" t="str">
        <x:v>Tidak boleh memakai resource lebih banyak dari available.</x:v>
      </x:c>
    </x:row>
    <x:row r="17">
      <x:c r="A17" s="108" t="str">
        <x:v>Constraint PO</x:v>
      </x:c>
      <x:c r="B17" s="108" t="str">
        <x:v>$B$17:$I$17 &lt;= $B$18:$I$18</x:v>
      </x:c>
      <x:c r="C17" s="108" t="str"/>
      <x:c r="D17" s="108" t="str">
        <x:v>Shipment per SKU tidak melebihi PO.</x:v>
      </x:c>
    </x:row>
    <x:row r="18">
      <x:c r="A18" s="108" t="str">
        <x:v>Contract minimum</x:v>
      </x:c>
      <x:c r="B18" s="108" t="str">
        <x:v>$B$17:$I$17 &gt;= $B$19:$I$19</x:v>
      </x:c>
      <x:c r="C18" s="108" t="str"/>
      <x:c r="D18" s="108" t="str">
        <x:v>Default 0; isi jika ada kontrak.</x:v>
      </x:c>
    </x:row>
    <x:row r="19">
      <x:c r="A19" s="108" t="str">
        <x:v>Container</x:v>
      </x:c>
      <x:c r="B19" s="108" t="str">
        <x:v>$B$26 &lt;= $D$26</x:v>
      </x:c>
      <x:c r="C19" s="108" t="str"/>
      <x:c r="D19" s="108" t="str">
        <x:v>Maksimum 19 ton.</x:v>
      </x:c>
    </x:row>
    <x:row r="20">
      <x:c r="A20" s="108" t="str">
        <x:v>Min shipment</x:v>
      </x:c>
      <x:c r="B20" s="108" t="str">
        <x:v>$B$27 &gt;= $D$27</x:v>
      </x:c>
      <x:c r="C20" s="108" t="str"/>
      <x:c r="D20" s="108" t="str">
        <x:v>Default 0; opsional.</x:v>
      </x:c>
    </x:row>
    <x:row r="21">
      <x:c r="A21" s="108" t="str">
        <x:v>Capacity</x:v>
      </x:c>
      <x:c r="B21" s="108" t="str">
        <x:v>$B$28 &lt;= $D$28 dan $B$29 &lt;= $D$29</x:v>
      </x:c>
      <x:c r="C21" s="108" t="str"/>
      <x:c r="D21" s="108" t="str">
        <x:v>Fresh WGG processing + monthly shipment.</x:v>
      </x:c>
    </x:row>
    <x:row r="22">
      <x:c r="A22" s="108" t="str">
        <x:v>Energy (opsional)</x:v>
      </x:c>
      <x:c r="B22" s="108" t="str">
        <x:v>Jika FINAL_01_Kendali!B21 = 1, tambahkan $B$30 &lt;= 0</x:v>
      </x:c>
      <x:c r="C22" s="108" t="str"/>
      <x:c r="D22" s="108" t="str">
        <x:v>Intensity constraint; jangan dipakai di Run 1 bila belum ada target/quota aktual.</x:v>
      </x:c>
    </x:row>
    <x:row r="23">
      <x:c r="A23" s="201" t="str">
        <x:v>Solving Method</x:v>
      </x:c>
      <x:c r="B23" s="201" t="str">
        <x:v>Simplex LP</x:v>
      </x:c>
      <x:c r="C23" s="201" t="str"/>
      <x:c r="D23" s="201" t="str">
        <x:v>Aktifkan Make Unconstrained Variables Non-Negative.</x:v>
      </x:c>
    </x:row>
    <x:row r="24">
      <x:c r="A24" s="201" t="str">
        <x:v>Tambahkan quality constraint: setiap decision cell dengan eligibility = 0 pada FINAL_03_Resource!B18:I22 harus dikunci = 0. Eligibility grade B/C masih proxy dan harus diupdate jika Aruna memberi mapping AAA/AA.</x:v>
      </x:c>
      <x:c r="B24" s="201"/>
      <x:c r="C24" s="201"/>
      <x:c r="D24" s="201"/>
    </x:row>
    <x:row r="25">
      <x:c r="A25" s="201"/>
      <x:c r="B25" s="201"/>
      <x:c r="C25" s="201"/>
      <x:c r="D25" s="201"/>
    </x:row>
    <x:row r="27">
      <x:c r="A27" s="112" t="str">
        <x:v>RUN 2 — EXCESS / MTS MINIMIZATION</x:v>
      </x:c>
      <x:c r="B27" s="112"/>
      <x:c r="C27" s="112"/>
      <x:c r="D27" s="112"/>
      <x:c r="E27" s="112"/>
      <x:c r="F27" s="112"/>
      <x:c r="G27" s="112"/>
      <x:c r="H27" s="112"/>
    </x:row>
    <x:row r="28">
      <x:c r="A28" s="103" t="str">
        <x:v>Step</x:v>
      </x:c>
      <x:c r="B28" s="103" t="str">
        <x:v>Setting</x:v>
      </x:c>
      <x:c r="C28" s="103" t="str">
        <x:v>Isi</x:v>
      </x:c>
      <x:c r="D28" s="103" t="str">
        <x:v>Tujuan</x:v>
      </x:c>
    </x:row>
    <x:row r="29">
      <x:c r="A29" s="108" t="str">
        <x:v>1</x:v>
      </x:c>
      <x:c r="B29" s="108" t="str">
        <x:v>Catat Profit Max</x:v>
      </x:c>
      <x:c r="C29" s="108" t="str">
        <x:v>Nilai FINAL_04_Optimizer!B35</x:v>
      </x:c>
      <x:c r="D29" s="108" t="str">
        <x:v>Economic ceiling dari Run 1.</x:v>
      </x:c>
    </x:row>
    <x:row r="30">
      <x:c r="A30" s="108" t="str">
        <x:v>2</x:v>
      </x:c>
      <x:c r="B30" s="108" t="str">
        <x:v>Set profit floor</x:v>
      </x:c>
      <x:c r="C30" s="108" t="str">
        <x:v>Profit Max × FINAL_01_Kendali!B18</x:v>
      </x:c>
      <x:c r="D30" s="108" t="str">
        <x:v>Contoh 95%; ini scenario, bukan fakta Aruna.</x:v>
      </x:c>
    </x:row>
    <x:row r="31">
      <x:c r="A31" s="108" t="str">
        <x:v>3</x:v>
      </x:c>
      <x:c r="B31" s="108" t="str">
        <x:v>Tambah constraint</x:v>
      </x:c>
      <x:c r="C31" s="108" t="str">
        <x:v>FINAL_04_Optimizer!B35 &gt;= profit floor</x:v>
      </x:c>
      <x:c r="D31" s="108" t="str">
        <x:v>Jaga value agar tidak jatuh terlalu jauh.</x:v>
      </x:c>
    </x:row>
    <x:row r="32">
      <x:c r="A32" s="108" t="str">
        <x:v>4</x:v>
      </x:c>
      <x:c r="B32" s="108" t="str">
        <x:v>Set Objective</x:v>
      </x:c>
      <x:c r="C32" s="108" t="str">
        <x:v>FINAL_04_Optimizer!B36 → MIN</x:v>
      </x:c>
      <x:c r="D32" s="108" t="str">
        <x:v>Minimalkan ending residual / WIP proxy.</x:v>
      </x:c>
    </x:row>
    <x:row r="33">
      <x:c r="A33" s="108" t="str">
        <x:v>5</x:v>
      </x:c>
      <x:c r="B33" s="108" t="str">
        <x:v>Run Simplex LP</x:v>
      </x:c>
      <x:c r="C33" s="108" t="str">
        <x:v>Decision cells tetap B5:I9</x:v>
      </x:c>
      <x:c r="D33" s="108" t="str">
        <x:v>Hasil = balanced resource-driven mix.</x:v>
      </x:c>
    </x:row>
    <x:row r="35">
      <x:c r="A35" s="116" t="str">
        <x:v>RUN 3 — ENERGY MINIMIZATION</x:v>
      </x:c>
      <x:c r="B35" s="116"/>
      <x:c r="C35" s="116"/>
      <x:c r="D35" s="116"/>
      <x:c r="E35" s="116"/>
      <x:c r="F35" s="116"/>
      <x:c r="G35" s="116"/>
      <x:c r="H35" s="116"/>
    </x:row>
    <x:row r="36">
      <x:c r="A36" s="103" t="str">
        <x:v>Step</x:v>
      </x:c>
      <x:c r="B36" s="103" t="str">
        <x:v>Setting</x:v>
      </x:c>
      <x:c r="C36" s="103" t="str">
        <x:v>Isi</x:v>
      </x:c>
      <x:c r="D36" s="103" t="str">
        <x:v>Tujuan</x:v>
      </x:c>
    </x:row>
    <x:row r="37">
      <x:c r="A37" s="108" t="str">
        <x:v>1</x:v>
      </x:c>
      <x:c r="B37" s="108" t="str">
        <x:v>Pertahankan profit floor</x:v>
      </x:c>
      <x:c r="C37" s="108" t="str">
        <x:v>Sama dengan Run 2</x:v>
      </x:c>
      <x:c r="D37" s="108" t="str">
        <x:v>Tidak mengorbankan economics secara bebas.</x:v>
      </x:c>
    </x:row>
    <x:row r="38">
      <x:c r="A38" s="108" t="str">
        <x:v>2</x:v>
      </x:c>
      <x:c r="B38" s="108" t="str">
        <x:v>Pertahankan residual cap</x:v>
      </x:c>
      <x:c r="C38" s="108" t="str">
        <x:v>Gunakan hasil residual dari Run 2 sebagai max</x:v>
      </x:c>
      <x:c r="D38" s="108" t="str">
        <x:v>Tidak 'hemat energi' dengan menambah excess.</x:v>
      </x:c>
    </x:row>
    <x:row r="39">
      <x:c r="A39" s="108" t="str">
        <x:v>3</x:v>
      </x:c>
      <x:c r="B39" s="108" t="str">
        <x:v>Aktifkan energy constraint</x:v>
      </x:c>
      <x:c r="C39" s="108" t="str">
        <x:v>FINAL_01_Kendali!B21 = 1; set target di B16</x:v>
      </x:c>
      <x:c r="D39" s="108" t="str">
        <x:v>Constraint linear: energy intensity gap B30 &lt;= 0.</x:v>
      </x:c>
    </x:row>
    <x:row r="40">
      <x:c r="A40" s="108" t="str">
        <x:v>4</x:v>
      </x:c>
      <x:c r="B40" s="108" t="str">
        <x:v>Set Objective</x:v>
      </x:c>
      <x:c r="C40" s="108" t="str">
        <x:v>FINAL_04_Optimizer!B37 → MIN</x:v>
      </x:c>
      <x:c r="D40" s="108" t="str">
        <x:v>Minimalkan total kWh; monitor intensity di B41.</x:v>
      </x:c>
    </x:row>
    <x:row r="41">
      <x:c r="A41" s="108" t="str">
        <x:v>5</x:v>
      </x:c>
      <x:c r="B41" s="108" t="str">
        <x:v>Jika shipment harus full</x:v>
      </x:c>
      <x:c r="C41" s="108" t="str">
        <x:v>Set FINAL_01_Kendali!B8 = 19000</x:v>
      </x:c>
      <x:c r="D41" s="108" t="str">
        <x:v>Bandingkan mix pada shipment volume yang sama.</x:v>
      </x:c>
    </x:row>
    <x:row r="42">
      <x:c r="A42" s="108" t="str">
        <x:v>6</x:v>
      </x:c>
      <x:c r="B42" s="108" t="str">
        <x:v>Run Simplex LP</x:v>
      </x:c>
      <x:c r="C42" s="108" t="str">
        <x:v>Decision cells tetap B5:I9</x:v>
      </x:c>
      <x:c r="D42" s="108" t="str">
        <x:v>Hasil = energy-efficient feasible mix.</x:v>
      </x:c>
    </x:row>
    <x:row r="43">
      <x:c r="A43" s="116" t="str">
        <x:v>FORMULASI MATEMATIS</x:v>
      </x:c>
      <x:c r="B43" s="116"/>
      <x:c r="C43" s="116"/>
      <x:c r="D43" s="116"/>
      <x:c r="E43" s="116"/>
      <x:c r="F43" s="116"/>
      <x:c r="G43" s="116"/>
      <x:c r="H43" s="116"/>
    </x:row>
    <x:row r="44">
      <x:c r="A44" s="103" t="str">
        <x:v>Elemen</x:v>
      </x:c>
      <x:c r="B44" s="103" t="str">
        <x:v>Formula</x:v>
      </x:c>
      <x:c r="C44" s="103" t="str">
        <x:v>Interpretasi</x:v>
      </x:c>
    </x:row>
    <x:row r="45">
      <x:c r="A45" s="108" t="str">
        <x:v>Decision variable</x:v>
      </x:c>
      <x:c r="B45" s="108" t="str">
        <x:v>x(i,j) ≥ 0</x:v>
      </x:c>
      <x:c r="C45" s="108" t="str">
        <x:v>kg loin dari resource i dialokasikan ke SKU j.</x:v>
      </x:c>
    </x:row>
    <x:row r="46">
      <x:c r="A46" s="108" t="str">
        <x:v>Finished goods</x:v>
      </x:c>
      <x:c r="B46" s="108" t="str">
        <x:v>FG(j) = rho(j) × Σ_i x(i,j)</x:v>
      </x:c>
      <x:c r="C46" s="108" t="str">
        <x:v>Recovery diterapkan setelah loin dialokasikan.</x:v>
      </x:c>
    </x:row>
    <x:row r="47">
      <x:c r="A47" s="108" t="str">
        <x:v>Profit objective</x:v>
      </x:c>
      <x:c r="B47" s="108" t="str">
        <x:v>MAX Σ_j [ContributionFG(j) × rho(j) × Σ_i x(i,j)]</x:v>
      </x:c>
      <x:c r="C47" s="108" t="str">
        <x:v>Fixed resource cost tidak memengaruhi ranking routing.</x:v>
      </x:c>
    </x:row>
    <x:row r="48">
      <x:c r="A48" s="108" t="str">
        <x:v>Supply</x:v>
      </x:c>
      <x:c r="B48" s="108" t="str">
        <x:v>Σ_j x(i,j) ≤ LoinAvailable(i)</x:v>
      </x:c>
      <x:c r="C48" s="108" t="str">
        <x:v>Resource constraint.</x:v>
      </x:c>
    </x:row>
    <x:row r="49">
      <x:c r="A49" s="108" t="str">
        <x:v>Demand</x:v>
      </x:c>
      <x:c r="B49" s="108" t="str">
        <x:v>StockUsed(j)+FG(j) ≤ PO(j)</x:v>
      </x:c>
      <x:c r="C49" s="108" t="str">
        <x:v>Tidak overproduce terhadap buyer demand.</x:v>
      </x:c>
    </x:row>
    <x:row r="50">
      <x:c r="A50" s="108" t="str">
        <x:v>Quality</x:v>
      </x:c>
      <x:c r="B50" s="108" t="str">
        <x:v>x(i,j)=0 jika eligibility(i,j)=0</x:v>
      </x:c>
      <x:c r="C50" s="108" t="str">
        <x:v>Hard quality constraint.</x:v>
      </x:c>
    </x:row>
    <x:row r="51">
      <x:c r="A51" s="108" t="str">
        <x:v>Energy intensity</x:v>
      </x:c>
      <x:c r="B51" s="108" t="str">
        <x:v>Σ_j [e(j)-Icap] × FG(j) ≤ 0</x:v>
      </x:c>
      <x:c r="C51" s="108" t="str">
        <x:v>Linear equivalent dari Energy/FG ≤ intensity cap.</x:v>
      </x:c>
    </x:row>
    <x:row r="52">
      <x:c r="A52" s="108" t="str">
        <x:v>Excess</x:v>
      </x:c>
      <x:c r="B52" s="108" t="str">
        <x:v>Residual(i)=LoinAvailable(i)-Σ_jx(i,j)</x:v>
      </x:c>
      <x:c r="C52" s="108" t="str">
        <x:v>Tidak boleh tersembunyi; menjadi KPI capital lock.</x:v>
      </x:c>
    </x:row>
    <x:row r="54">
      <x:c r="A54" s="112" t="str">
        <x:v>INTERPRETASI HASIL — JANGAN SALAH CLAIM</x:v>
      </x:c>
      <x:c r="B54" s="112"/>
      <x:c r="C54" s="112"/>
      <x:c r="D54" s="112"/>
      <x:c r="E54" s="112"/>
      <x:c r="F54" s="112"/>
      <x:c r="G54" s="112"/>
      <x:c r="H54" s="112"/>
    </x:row>
    <x:row r="55">
      <x:c r="A55" s="103" t="str">
        <x:v>Jangan bilang</x:v>
      </x:c>
      <x:c r="B55" s="103" t="str">
        <x:v>Lebih aman bilang</x:v>
      </x:c>
      <x:c r="C55" s="103" t="str"/>
      <x:c r="D55" s="103" t="str"/>
    </x:row>
    <x:row r="56">
      <x:c r="A56" s="108" t="str">
        <x:v>'Aruna harus memenuhi 70% PO'</x:v>
      </x:c>
      <x:c r="B56" s="108" t="str">
        <x:v>'Minimum contractual commitment dimodelkan per SKU bila tersedia; tidak ada alpha global tanpa dasar.'</x:v>
      </x:c>
      <x:c r="C56" s="108" t="str"/>
      <x:c r="D56" s="108" t="str"/>
    </x:row>
    <x:row r="57">
      <x:c r="A57" s="108" t="str">
        <x:v>'Profit naik X% pasti'</x:v>
      </x:c>
      <x:c r="B57" s="108" t="str">
        <x:v>'Model menunjukkan potential routing value / profit uplift berdasarkan current price, yield, eligibility, dan resource assumptions.'</x:v>
      </x:c>
      <x:c r="C57" s="108" t="str"/>
      <x:c r="D57" s="108" t="str"/>
    </x:row>
    <x:row r="58">
      <x:c r="A58" s="108" t="str">
        <x:v>'Energi turun karena SKU A lebih hemat'</x:v>
      </x:c>
      <x:c r="B58" s="108" t="str">
        <x:v>'Energy result bergantung pada product mix, recovery, process time, dan shipment volume.'</x:v>
      </x:c>
      <x:c r="C58" s="108" t="str"/>
      <x:c r="D58" s="108" t="str"/>
    </x:row>
    <x:row r="59">
      <x:c r="A59" s="108" t="str">
        <x:v>'Grade C tidak boleh Saku'</x:v>
      </x:c>
      <x:c r="B59" s="108" t="str">
        <x:v>'Mapping grade B/C ke AAA/AA belum tersedia; eligibility grade harus divalidasi.'</x:v>
      </x:c>
      <x:c r="C59" s="108" t="str"/>
      <x:c r="D59" s="108" t="str"/>
    </x:row>
    <x:row r="60">
      <x:c r="A60" s="108" t="str">
        <x:v>'Residual = waste'</x:v>
      </x:c>
      <x:c r="B60" s="108" t="str">
        <x:v>'Residual adalah resource yang belum dialokasikan ke FG pada shipment; dapat menjadi WIP/MTS, local outlet, atau route berikutnya.'</x:v>
      </x:c>
      <x:c r="C60" s="108" t="str"/>
      <x:c r="D60" s="108" t="str"/>
    </x:row>
  </x:sheetData>
  <x:mergeCells>
    <x:mergeCell ref="A1:H1"/>
    <x:mergeCell ref="A3:H3"/>
    <x:mergeCell ref="A12:H12"/>
    <x:mergeCell ref="A23:D25"/>
    <x:mergeCell ref="A27:H27"/>
    <x:mergeCell ref="A35:H35"/>
    <x:mergeCell ref="A43:H43"/>
    <x:mergeCell ref="A54:H54"/>
    <x:mergeCell ref="A24:D25"/>
  </x:mergeCells>
  <x:pageMargins left="0.7" right="0.7" top="0.75" bottom="0.75" header="0.3" footer="0.3"/>
</x:worksheet>
</file>